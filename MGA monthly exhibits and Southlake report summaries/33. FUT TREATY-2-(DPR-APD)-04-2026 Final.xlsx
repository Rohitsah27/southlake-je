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a-azure-files.ntageneral.local\main\DEEPIKA NEHA\2026\FUTURISTIC - COMMERCIAL\06. FUTURISTIC - SSIC - PACKAGE\04. APRIL 2026\TREATY 2\"/>
    </mc:Choice>
  </mc:AlternateContent>
  <xr:revisionPtr revIDLastSave="1" documentId="13_ncr:1_{3C586292-2B8E-45F1-9513-9D3D87B3D3D4}" xr6:coauthVersionLast="47" xr6:coauthVersionMax="47" xr10:uidLastSave="{D0A02EB4-90F7-4620-8BA4-70FC9D45C703}"/>
  <bookViews>
    <workbookView xWindow="28680" yWindow="345" windowWidth="29040" windowHeight="15720" tabRatio="812" firstSheet="3" activeTab="2" xr2:uid="{00000000-000D-0000-FFFF-FFFF00000000}"/>
  </bookViews>
  <sheets>
    <sheet name="Instructions" sheetId="98" r:id="rId1"/>
    <sheet name="Expenses Def." sheetId="96" r:id="rId2"/>
    <sheet name="Cash Settlement" sheetId="1" r:id="rId3"/>
    <sheet name="MTHLY-TOTAL" sheetId="12" r:id="rId4"/>
    <sheet name="MTHLY-AL" sheetId="17" state="hidden" r:id="rId5"/>
    <sheet name="MTHLY-AK" sheetId="89" state="hidden" r:id="rId6"/>
    <sheet name="MTHLY-AR" sheetId="30" state="hidden" r:id="rId7"/>
    <sheet name="MTHLY-AZ" sheetId="25" r:id="rId8"/>
    <sheet name="MTHLY-CA" sheetId="29" r:id="rId9"/>
    <sheet name="MTHLY-CO" sheetId="28" state="hidden" r:id="rId10"/>
    <sheet name="MTHLY-CT" sheetId="27" state="hidden" r:id="rId11"/>
    <sheet name="MTHLY-DE" sheetId="79" state="hidden" r:id="rId12"/>
    <sheet name="MTHLY-DC" sheetId="90" state="hidden" r:id="rId13"/>
    <sheet name="MTHLY-FL" sheetId="39" state="hidden" r:id="rId14"/>
    <sheet name="MTHLY-GA" sheetId="38" r:id="rId15"/>
    <sheet name="MTHLY-HI" sheetId="85" state="hidden" r:id="rId16"/>
    <sheet name="MTHLY-IA" sheetId="74" r:id="rId17"/>
    <sheet name="MTHLY-IL" sheetId="35" state="hidden" r:id="rId18"/>
    <sheet name="MTHLY-ID" sheetId="82" state="hidden" r:id="rId19"/>
    <sheet name="MTHLY-IN" sheetId="34" r:id="rId20"/>
    <sheet name="MTHLY-KS" sheetId="32" state="hidden" r:id="rId21"/>
    <sheet name="MTHLY-KY" sheetId="31" state="hidden" r:id="rId22"/>
    <sheet name="MTHLY-LA" sheetId="65" state="hidden" r:id="rId23"/>
    <sheet name="MTHLY-MA" sheetId="63" state="hidden" r:id="rId24"/>
    <sheet name="MTHLY-MD" sheetId="44" state="hidden" r:id="rId25"/>
    <sheet name="MTHLY-ME" sheetId="68" state="hidden" r:id="rId26"/>
    <sheet name="MTHLY-MI" sheetId="45" r:id="rId27"/>
    <sheet name="MTHLY-MN" sheetId="59" r:id="rId28"/>
    <sheet name="MTHLY-MO" sheetId="46" r:id="rId29"/>
    <sheet name="MTHLY-MS" sheetId="73" state="hidden" r:id="rId30"/>
    <sheet name="MTHLY-MT" sheetId="80" state="hidden" r:id="rId31"/>
    <sheet name="MTHLY-NC" sheetId="47" state="hidden" r:id="rId32"/>
    <sheet name="MTHLY-ND" sheetId="56" state="hidden" r:id="rId33"/>
    <sheet name="MTHLY-NH" sheetId="81" state="hidden" r:id="rId34"/>
    <sheet name="MTHLY-NJ" sheetId="48" r:id="rId35"/>
    <sheet name="MTHLY-NM" sheetId="84" state="hidden" r:id="rId36"/>
    <sheet name="MTHLY-NE" sheetId="86" state="hidden" r:id="rId37"/>
    <sheet name="MTHLY-NV" sheetId="50" state="hidden" r:id="rId38"/>
    <sheet name="MTHLY-NY" sheetId="75" state="hidden" r:id="rId39"/>
    <sheet name="MTHLY-OH" sheetId="49" r:id="rId40"/>
    <sheet name="MTHLY-OK" sheetId="61" state="hidden" r:id="rId41"/>
    <sheet name="MTHLY-OR" sheetId="72" r:id="rId42"/>
    <sheet name="MTHLY-PA" sheetId="51" r:id="rId43"/>
    <sheet name="MTHLY-RI" sheetId="77" state="hidden" r:id="rId44"/>
    <sheet name="MTHLY-SC" sheetId="52" state="hidden" r:id="rId45"/>
    <sheet name="MTHLY-SD" sheetId="62" state="hidden" r:id="rId46"/>
    <sheet name="MTHLY-TN" sheetId="57" state="hidden" r:id="rId47"/>
    <sheet name="MTHLY-TX" sheetId="53" r:id="rId48"/>
    <sheet name="MTHLY-UT" sheetId="88" state="hidden" r:id="rId49"/>
    <sheet name="MTHLY-VA" sheetId="58" r:id="rId50"/>
    <sheet name="MTHLY-VT" sheetId="70" state="hidden" r:id="rId51"/>
    <sheet name="MTHLY-WA" sheetId="54" r:id="rId52"/>
    <sheet name="MTHLY-WI" sheetId="55" state="hidden" r:id="rId53"/>
    <sheet name="MTHLY-WV" sheetId="64" state="hidden" r:id="rId54"/>
    <sheet name="MTHLY-WY" sheetId="78" state="hidden" r:id="rId55"/>
    <sheet name="Policies In force" sheetId="110" r:id="rId56"/>
    <sheet name="Tax Rates" sheetId="105" state="hidden" r:id="rId57"/>
    <sheet name="Premiums" sheetId="106" state="hidden" r:id="rId58"/>
    <sheet name="Paids --yr end" sheetId="107" state="hidden" r:id="rId59"/>
    <sheet name="Reserves --yr end" sheetId="108" state="hidden" r:id="rId60"/>
    <sheet name="Claim Count Format--yr end" sheetId="109" state="hidden" r:id="rId61"/>
  </sheets>
  <externalReferences>
    <externalReference r:id="rId62"/>
  </externalReferences>
  <definedNames>
    <definedName name="EPLookupCol">'[1]From Reinsurance Report'!$E$2:$E$4</definedName>
    <definedName name="PaidExpLookupCol">'[1]From Monthly Reporting'!$C$4:$C$7</definedName>
    <definedName name="PaidIndemLookupCol">'[1]From Monthly Reporting'!$E$4:$E$7</definedName>
    <definedName name="PaidStateCol">'[1]From Monthly Reporting'!$A$4:$A$7</definedName>
    <definedName name="PremStateCol">'[1]From Reinsurance Report'!$A$2:$A$4</definedName>
    <definedName name="_xlnm.Print_Area" localSheetId="60">'Claim Count Format--yr end'!$A$1:$G$76</definedName>
    <definedName name="_xlnm.Print_Area" localSheetId="5">'MTHLY-AK'!$B$14:$E$27</definedName>
    <definedName name="_xlnm.Print_Area" localSheetId="4">'MTHLY-AL'!$B$14:$E$27</definedName>
    <definedName name="_xlnm.Print_Area" localSheetId="7">'MTHLY-AZ'!$B$14:$E$27</definedName>
    <definedName name="_xlnm.Print_Area" localSheetId="21">'MTHLY-KY'!$B$14:$E$27</definedName>
    <definedName name="_xlnm.Print_Area" localSheetId="58">'Paids --yr end'!$A$1:$F$71</definedName>
    <definedName name="_xlnm.Print_Area" localSheetId="59">'Reserves --yr end'!$A$1:$F$70</definedName>
    <definedName name="_xlnm.Print_Titles" localSheetId="5">'MTHLY-AK'!$A:$A,'MTHLY-AK'!$1:$13</definedName>
    <definedName name="_xlnm.Print_Titles" localSheetId="4">'MTHLY-AL'!$A:$A,'MTHLY-AL'!$1:$13</definedName>
    <definedName name="_xlnm.Print_Titles" localSheetId="7">'MTHLY-AZ'!$A:$A,'MTHLY-AZ'!$1:$13</definedName>
    <definedName name="_xlnm.Print_Titles" localSheetId="21">'MTHLY-KY'!$A:$A,'MTHLY-KY'!$1:$13</definedName>
    <definedName name="RsvLookupCol_Exp">'[1]From Monthly Reporting'!$E$12:$E$15</definedName>
    <definedName name="RsvLookupCol_Loss">'[1]From Monthly Reporting'!$D$12:$D$15</definedName>
    <definedName name="RsvStateCol">'[1]From Monthly Reporting'!$A$12:$A$15</definedName>
    <definedName name="TreatyName">'[1]SetUp &amp; Macro'!$F$8</definedName>
    <definedName name="UPRLookupCol">'[1]From Reinsurance Report'!$F$2:$F$4</definedName>
    <definedName name="WPLookupCol">'[1]From Reinsurance Report'!$B$2:$B$4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110" l="1"/>
  <c r="E11" i="110" l="1"/>
  <c r="E12" i="110"/>
  <c r="E14" i="110"/>
  <c r="E15" i="110"/>
  <c r="E16" i="110"/>
  <c r="E17" i="110"/>
  <c r="E18" i="110"/>
  <c r="E19" i="110"/>
  <c r="E20" i="110"/>
  <c r="E21" i="110"/>
  <c r="E22" i="110"/>
  <c r="E23" i="110"/>
  <c r="E24" i="110"/>
  <c r="E25" i="110"/>
  <c r="E26" i="110"/>
  <c r="E27" i="110"/>
  <c r="E28" i="110"/>
  <c r="E29" i="110"/>
  <c r="E30" i="110"/>
  <c r="E31" i="110"/>
  <c r="E32" i="110"/>
  <c r="E33" i="110"/>
  <c r="E34" i="110"/>
  <c r="E35" i="110"/>
  <c r="E36" i="110"/>
  <c r="E37" i="110"/>
  <c r="E38" i="110"/>
  <c r="E39" i="110"/>
  <c r="E40" i="110"/>
  <c r="E41" i="110"/>
  <c r="E42" i="110"/>
  <c r="E43" i="110"/>
  <c r="E44" i="110"/>
  <c r="E45" i="110"/>
  <c r="E46" i="110"/>
  <c r="E47" i="110"/>
  <c r="E48" i="110"/>
  <c r="E49" i="110"/>
  <c r="E50" i="110"/>
  <c r="E51" i="110"/>
  <c r="E52" i="110"/>
  <c r="E53" i="110"/>
  <c r="E54" i="110"/>
  <c r="E55" i="110"/>
  <c r="E56" i="110"/>
  <c r="E57" i="110"/>
  <c r="E58" i="110"/>
  <c r="E59" i="110"/>
  <c r="E60" i="110"/>
  <c r="C4" i="12"/>
  <c r="C12" i="12"/>
  <c r="C13" i="12"/>
  <c r="C14" i="12"/>
  <c r="C15" i="12"/>
  <c r="C19" i="12"/>
  <c r="C20" i="12"/>
  <c r="C21" i="12"/>
  <c r="C22" i="12"/>
  <c r="C23" i="12"/>
  <c r="C24" i="12"/>
  <c r="C26" i="12"/>
  <c r="C27" i="12"/>
  <c r="C28" i="12"/>
  <c r="C29" i="12"/>
  <c r="C16" i="12" l="1"/>
  <c r="C18" i="12"/>
  <c r="K28" i="1" l="1"/>
  <c r="L15" i="1" l="1"/>
  <c r="J28" i="1" l="1"/>
  <c r="I28" i="1"/>
  <c r="H28" i="1"/>
  <c r="G28" i="1" l="1"/>
  <c r="D28" i="1"/>
  <c r="E28" i="1"/>
  <c r="F28" i="1"/>
  <c r="B29" i="12"/>
  <c r="C30" i="1"/>
  <c r="K30" i="1" s="1"/>
  <c r="D29" i="12"/>
  <c r="E28" i="29"/>
  <c r="E28" i="25"/>
  <c r="L28" i="1" l="1"/>
  <c r="J30" i="1"/>
  <c r="I30" i="1"/>
  <c r="H30" i="1"/>
  <c r="F30" i="1"/>
  <c r="G30" i="1"/>
  <c r="E29" i="12"/>
  <c r="D30" i="1"/>
  <c r="E30" i="1"/>
  <c r="L30" i="1" l="1"/>
  <c r="E16" i="78"/>
  <c r="E16" i="64"/>
  <c r="E16" i="55"/>
  <c r="E16" i="54"/>
  <c r="E16" i="70"/>
  <c r="E16" i="58"/>
  <c r="E16" i="88"/>
  <c r="E16" i="53"/>
  <c r="E16" i="57"/>
  <c r="E16" i="62"/>
  <c r="E16" i="52"/>
  <c r="E16" i="77"/>
  <c r="E16" i="51"/>
  <c r="E16" i="72"/>
  <c r="E16" i="61"/>
  <c r="E16" i="49"/>
  <c r="E16" i="75"/>
  <c r="E16" i="50"/>
  <c r="E16" i="86"/>
  <c r="E16" i="84"/>
  <c r="E16" i="48"/>
  <c r="E16" i="81"/>
  <c r="E16" i="56"/>
  <c r="E16" i="47"/>
  <c r="E16" i="80"/>
  <c r="E16" i="73"/>
  <c r="E16" i="46"/>
  <c r="E16" i="59"/>
  <c r="E16" i="45"/>
  <c r="E16" i="68"/>
  <c r="E16" i="44"/>
  <c r="E16" i="63"/>
  <c r="E16" i="65"/>
  <c r="E16" i="31"/>
  <c r="E16" i="32"/>
  <c r="E16" i="34"/>
  <c r="E16" i="82"/>
  <c r="E16" i="35"/>
  <c r="E16" i="74"/>
  <c r="E16" i="85"/>
  <c r="E16" i="38"/>
  <c r="E16" i="39"/>
  <c r="E16" i="90"/>
  <c r="E16" i="79"/>
  <c r="E16" i="27"/>
  <c r="E16" i="28"/>
  <c r="E16" i="29"/>
  <c r="E16" i="25"/>
  <c r="E16" i="30"/>
  <c r="E16" i="89"/>
  <c r="E16" i="17"/>
  <c r="B14" i="12"/>
  <c r="E13" i="110" l="1"/>
  <c r="C61" i="110"/>
  <c r="C18" i="25" l="1"/>
  <c r="B18" i="25"/>
  <c r="B71" i="109"/>
  <c r="B61" i="109"/>
  <c r="B51" i="109"/>
  <c r="B41" i="109"/>
  <c r="B31" i="109"/>
  <c r="B21" i="109"/>
  <c r="B11" i="109"/>
  <c r="B65" i="108"/>
  <c r="B56" i="108"/>
  <c r="B47" i="108"/>
  <c r="B38" i="108"/>
  <c r="B29" i="108"/>
  <c r="B20" i="108"/>
  <c r="B11" i="108"/>
  <c r="B65" i="107"/>
  <c r="B56" i="107"/>
  <c r="B47" i="107"/>
  <c r="B38" i="107"/>
  <c r="B29" i="107"/>
  <c r="B20" i="107"/>
  <c r="B11" i="107"/>
  <c r="D10" i="110"/>
  <c r="C10" i="110"/>
  <c r="B10" i="110"/>
  <c r="A4" i="110"/>
  <c r="A3" i="110"/>
  <c r="E61" i="110"/>
  <c r="D25" i="12" s="1"/>
  <c r="E25" i="12" s="1"/>
  <c r="F84" i="109" l="1"/>
  <c r="E84" i="109"/>
  <c r="D84" i="109"/>
  <c r="C84" i="109"/>
  <c r="A84" i="109"/>
  <c r="F83" i="109"/>
  <c r="E83" i="109"/>
  <c r="D83" i="109"/>
  <c r="C83" i="109"/>
  <c r="A83" i="109"/>
  <c r="F82" i="109"/>
  <c r="E82" i="109"/>
  <c r="D82" i="109"/>
  <c r="C82" i="109"/>
  <c r="A82" i="109"/>
  <c r="F75" i="109"/>
  <c r="E75" i="109"/>
  <c r="D75" i="109"/>
  <c r="C75" i="109"/>
  <c r="G73" i="109"/>
  <c r="A73" i="109"/>
  <c r="G72" i="109"/>
  <c r="A72" i="109"/>
  <c r="G71" i="109"/>
  <c r="A71" i="109"/>
  <c r="B72" i="109"/>
  <c r="B73" i="109" s="1"/>
  <c r="G68" i="109"/>
  <c r="G58" i="109" s="1"/>
  <c r="G48" i="109" s="1"/>
  <c r="G38" i="109" s="1"/>
  <c r="G28" i="109" s="1"/>
  <c r="G18" i="109" s="1"/>
  <c r="G8" i="109" s="1"/>
  <c r="C68" i="109"/>
  <c r="C58" i="109" s="1"/>
  <c r="C48" i="109" s="1"/>
  <c r="C38" i="109" s="1"/>
  <c r="C28" i="109" s="1"/>
  <c r="C18" i="109" s="1"/>
  <c r="C8" i="109" s="1"/>
  <c r="F65" i="109"/>
  <c r="E65" i="109"/>
  <c r="D65" i="109"/>
  <c r="C65" i="109"/>
  <c r="G63" i="109"/>
  <c r="A63" i="109"/>
  <c r="G62" i="109"/>
  <c r="A62" i="109"/>
  <c r="G61" i="109"/>
  <c r="A61" i="109"/>
  <c r="B62" i="109"/>
  <c r="B63" i="109" s="1"/>
  <c r="F55" i="109"/>
  <c r="E55" i="109"/>
  <c r="D55" i="109"/>
  <c r="C55" i="109"/>
  <c r="G53" i="109"/>
  <c r="A53" i="109"/>
  <c r="G52" i="109"/>
  <c r="A52" i="109"/>
  <c r="G51" i="109"/>
  <c r="A51" i="109"/>
  <c r="B52" i="109"/>
  <c r="B53" i="109" s="1"/>
  <c r="F45" i="109"/>
  <c r="E45" i="109"/>
  <c r="D45" i="109"/>
  <c r="C45" i="109"/>
  <c r="G43" i="109"/>
  <c r="A43" i="109"/>
  <c r="G42" i="109"/>
  <c r="A42" i="109"/>
  <c r="G41" i="109"/>
  <c r="A41" i="109"/>
  <c r="B42" i="109"/>
  <c r="B43" i="109" s="1"/>
  <c r="F35" i="109"/>
  <c r="E35" i="109"/>
  <c r="D35" i="109"/>
  <c r="C35" i="109"/>
  <c r="G33" i="109"/>
  <c r="A33" i="109"/>
  <c r="G32" i="109"/>
  <c r="A32" i="109"/>
  <c r="G31" i="109"/>
  <c r="A31" i="109"/>
  <c r="B32" i="109"/>
  <c r="B33" i="109" s="1"/>
  <c r="F25" i="109"/>
  <c r="E25" i="109"/>
  <c r="D25" i="109"/>
  <c r="C25" i="109"/>
  <c r="G23" i="109"/>
  <c r="A23" i="109"/>
  <c r="G22" i="109"/>
  <c r="A22" i="109"/>
  <c r="G21" i="109"/>
  <c r="A21" i="109"/>
  <c r="B22" i="109"/>
  <c r="B23" i="109" s="1"/>
  <c r="F15" i="109"/>
  <c r="E15" i="109"/>
  <c r="D15" i="109"/>
  <c r="C15" i="109"/>
  <c r="G13" i="109"/>
  <c r="A13" i="109"/>
  <c r="G12" i="109"/>
  <c r="A12" i="109"/>
  <c r="G11" i="109"/>
  <c r="A11" i="109"/>
  <c r="B12" i="109"/>
  <c r="B13" i="109" s="1"/>
  <c r="A4" i="109"/>
  <c r="A3" i="109"/>
  <c r="E114" i="108"/>
  <c r="D114" i="108"/>
  <c r="C114" i="108"/>
  <c r="A112" i="108"/>
  <c r="A111" i="108"/>
  <c r="A110" i="108"/>
  <c r="A97" i="108"/>
  <c r="A96" i="108"/>
  <c r="A95" i="108"/>
  <c r="E89" i="108"/>
  <c r="D89" i="108"/>
  <c r="C89" i="108"/>
  <c r="A87" i="108"/>
  <c r="A86" i="108"/>
  <c r="A85" i="108"/>
  <c r="F77" i="108"/>
  <c r="E77" i="108"/>
  <c r="E97" i="108" s="1"/>
  <c r="D77" i="108"/>
  <c r="D97" i="108" s="1"/>
  <c r="C77" i="108"/>
  <c r="C97" i="108" s="1"/>
  <c r="A77" i="108"/>
  <c r="F76" i="108"/>
  <c r="E76" i="108"/>
  <c r="E96" i="108" s="1"/>
  <c r="D76" i="108"/>
  <c r="D96" i="108" s="1"/>
  <c r="C76" i="108"/>
  <c r="C96" i="108" s="1"/>
  <c r="A76" i="108"/>
  <c r="F75" i="108"/>
  <c r="E75" i="108"/>
  <c r="E95" i="108" s="1"/>
  <c r="D75" i="108"/>
  <c r="D95" i="108" s="1"/>
  <c r="C75" i="108"/>
  <c r="C95" i="108" s="1"/>
  <c r="A75" i="108"/>
  <c r="F69" i="108"/>
  <c r="E69" i="108"/>
  <c r="D69" i="108"/>
  <c r="C69" i="108"/>
  <c r="A67" i="108"/>
  <c r="A66" i="108"/>
  <c r="A65" i="108"/>
  <c r="B66" i="108"/>
  <c r="B67" i="108" s="1"/>
  <c r="F60" i="108"/>
  <c r="E60" i="108"/>
  <c r="D60" i="108"/>
  <c r="C60" i="108"/>
  <c r="A58" i="108"/>
  <c r="A57" i="108"/>
  <c r="A56" i="108"/>
  <c r="B57" i="108"/>
  <c r="B58" i="108" s="1"/>
  <c r="F51" i="108"/>
  <c r="E51" i="108"/>
  <c r="D51" i="108"/>
  <c r="C51" i="108"/>
  <c r="A49" i="108"/>
  <c r="A48" i="108"/>
  <c r="A47" i="108"/>
  <c r="B48" i="108"/>
  <c r="B49" i="108" s="1"/>
  <c r="F42" i="108"/>
  <c r="E42" i="108"/>
  <c r="D42" i="108"/>
  <c r="C42" i="108"/>
  <c r="A40" i="108"/>
  <c r="A39" i="108"/>
  <c r="A38" i="108"/>
  <c r="B39" i="108"/>
  <c r="B40" i="108" s="1"/>
  <c r="F33" i="108"/>
  <c r="E33" i="108"/>
  <c r="D33" i="108"/>
  <c r="C33" i="108"/>
  <c r="A31" i="108"/>
  <c r="A30" i="108"/>
  <c r="A29" i="108"/>
  <c r="B30" i="108"/>
  <c r="B31" i="108" s="1"/>
  <c r="F24" i="108"/>
  <c r="E24" i="108"/>
  <c r="D24" i="108"/>
  <c r="C24" i="108"/>
  <c r="A22" i="108"/>
  <c r="A21" i="108"/>
  <c r="A20" i="108"/>
  <c r="B21" i="108"/>
  <c r="B22" i="108" s="1"/>
  <c r="F15" i="108"/>
  <c r="E15" i="108"/>
  <c r="D15" i="108"/>
  <c r="C15" i="108"/>
  <c r="A13" i="108"/>
  <c r="A12" i="108"/>
  <c r="A11" i="108"/>
  <c r="B12" i="108"/>
  <c r="B13" i="108" s="1"/>
  <c r="A4" i="108"/>
  <c r="A3" i="108"/>
  <c r="A151" i="107"/>
  <c r="A150" i="107"/>
  <c r="A149" i="107"/>
  <c r="E141" i="107"/>
  <c r="D141" i="107"/>
  <c r="C141" i="107"/>
  <c r="A141" i="107"/>
  <c r="E140" i="107"/>
  <c r="D140" i="107"/>
  <c r="C140" i="107"/>
  <c r="A140" i="107"/>
  <c r="E139" i="107"/>
  <c r="D139" i="107"/>
  <c r="C139" i="107"/>
  <c r="A139" i="107"/>
  <c r="E133" i="107"/>
  <c r="D133" i="107"/>
  <c r="C133" i="107"/>
  <c r="A131" i="107"/>
  <c r="A130" i="107"/>
  <c r="A129" i="107"/>
  <c r="E123" i="107"/>
  <c r="D123" i="107"/>
  <c r="C123" i="107"/>
  <c r="A121" i="107"/>
  <c r="A120" i="107"/>
  <c r="A119" i="107"/>
  <c r="B117" i="107"/>
  <c r="E113" i="107"/>
  <c r="D113" i="107"/>
  <c r="C113" i="107"/>
  <c r="A111" i="107"/>
  <c r="A110" i="107"/>
  <c r="A109" i="107"/>
  <c r="B107" i="107"/>
  <c r="A97" i="107"/>
  <c r="A96" i="107"/>
  <c r="A95" i="107"/>
  <c r="E89" i="107"/>
  <c r="D89" i="107"/>
  <c r="C89" i="107"/>
  <c r="A87" i="107"/>
  <c r="A86" i="107"/>
  <c r="A85" i="107"/>
  <c r="F77" i="107"/>
  <c r="E77" i="107"/>
  <c r="E97" i="107" s="1"/>
  <c r="D77" i="107"/>
  <c r="D97" i="107" s="1"/>
  <c r="C77" i="107"/>
  <c r="C97" i="107" s="1"/>
  <c r="A77" i="107"/>
  <c r="F76" i="107"/>
  <c r="E76" i="107"/>
  <c r="E96" i="107" s="1"/>
  <c r="D76" i="107"/>
  <c r="D96" i="107" s="1"/>
  <c r="C76" i="107"/>
  <c r="C96" i="107" s="1"/>
  <c r="A76" i="107"/>
  <c r="F75" i="107"/>
  <c r="E75" i="107"/>
  <c r="E95" i="107" s="1"/>
  <c r="D75" i="107"/>
  <c r="D95" i="107" s="1"/>
  <c r="C75" i="107"/>
  <c r="C95" i="107" s="1"/>
  <c r="A75" i="107"/>
  <c r="F69" i="107"/>
  <c r="E69" i="107"/>
  <c r="D69" i="107"/>
  <c r="C69" i="107"/>
  <c r="A67" i="107"/>
  <c r="A66" i="107"/>
  <c r="A65" i="107"/>
  <c r="B66" i="107"/>
  <c r="B67" i="107" s="1"/>
  <c r="F60" i="107"/>
  <c r="E60" i="107"/>
  <c r="D60" i="107"/>
  <c r="C60" i="107"/>
  <c r="A58" i="107"/>
  <c r="A57" i="107"/>
  <c r="A56" i="107"/>
  <c r="B57" i="107"/>
  <c r="B58" i="107" s="1"/>
  <c r="F51" i="107"/>
  <c r="E51" i="107"/>
  <c r="D51" i="107"/>
  <c r="C51" i="107"/>
  <c r="A49" i="107"/>
  <c r="A48" i="107"/>
  <c r="A47" i="107"/>
  <c r="B48" i="107"/>
  <c r="B49" i="107" s="1"/>
  <c r="F42" i="107"/>
  <c r="E42" i="107"/>
  <c r="D42" i="107"/>
  <c r="C42" i="107"/>
  <c r="A40" i="107"/>
  <c r="A39" i="107"/>
  <c r="A38" i="107"/>
  <c r="B39" i="107"/>
  <c r="B40" i="107" s="1"/>
  <c r="F33" i="107"/>
  <c r="E33" i="107"/>
  <c r="D33" i="107"/>
  <c r="C33" i="107"/>
  <c r="A31" i="107"/>
  <c r="A30" i="107"/>
  <c r="A29" i="107"/>
  <c r="B30" i="107"/>
  <c r="B31" i="107" s="1"/>
  <c r="F24" i="107"/>
  <c r="E24" i="107"/>
  <c r="D24" i="107"/>
  <c r="C24" i="107"/>
  <c r="A22" i="107"/>
  <c r="A21" i="107"/>
  <c r="A20" i="107"/>
  <c r="B21" i="107"/>
  <c r="B22" i="107" s="1"/>
  <c r="F15" i="107"/>
  <c r="E15" i="107"/>
  <c r="D15" i="107"/>
  <c r="C15" i="107"/>
  <c r="A13" i="107"/>
  <c r="A12" i="107"/>
  <c r="A11" i="107"/>
  <c r="B12" i="107"/>
  <c r="B13" i="107" s="1"/>
  <c r="A4" i="107"/>
  <c r="C2" i="107"/>
  <c r="C2" i="108" s="1"/>
  <c r="A1" i="107"/>
  <c r="E36" i="106"/>
  <c r="D33" i="106"/>
  <c r="C33" i="106"/>
  <c r="B33" i="106"/>
  <c r="E32" i="106"/>
  <c r="E31" i="106"/>
  <c r="E30" i="106"/>
  <c r="D25" i="106"/>
  <c r="C25" i="106"/>
  <c r="B25" i="106"/>
  <c r="D23" i="106"/>
  <c r="C23" i="106"/>
  <c r="B23" i="106"/>
  <c r="D22" i="106"/>
  <c r="C22" i="106"/>
  <c r="B22" i="106"/>
  <c r="E18" i="106"/>
  <c r="E16" i="106"/>
  <c r="D15" i="106"/>
  <c r="C15" i="106"/>
  <c r="B15" i="106"/>
  <c r="E11" i="106"/>
  <c r="E8" i="106"/>
  <c r="E143" i="107" l="1"/>
  <c r="C143" i="107"/>
  <c r="G45" i="109"/>
  <c r="G55" i="109"/>
  <c r="D143" i="107"/>
  <c r="G65" i="109"/>
  <c r="D149" i="107"/>
  <c r="E23" i="106"/>
  <c r="D151" i="107"/>
  <c r="G25" i="109"/>
  <c r="C150" i="107"/>
  <c r="F86" i="109"/>
  <c r="E25" i="106"/>
  <c r="E99" i="108"/>
  <c r="C86" i="109"/>
  <c r="E86" i="109"/>
  <c r="D86" i="109"/>
  <c r="G82" i="109"/>
  <c r="G83" i="109"/>
  <c r="G84" i="109"/>
  <c r="G35" i="109"/>
  <c r="G75" i="109"/>
  <c r="C99" i="108"/>
  <c r="F79" i="108"/>
  <c r="C149" i="107"/>
  <c r="E149" i="107"/>
  <c r="C151" i="107"/>
  <c r="E151" i="107"/>
  <c r="D150" i="107"/>
  <c r="E150" i="107"/>
  <c r="F79" i="107"/>
  <c r="E33" i="106"/>
  <c r="A1" i="109"/>
  <c r="A1" i="110"/>
  <c r="C99" i="107"/>
  <c r="E99" i="107"/>
  <c r="D99" i="108"/>
  <c r="D99" i="107"/>
  <c r="D79" i="107"/>
  <c r="A1" i="108"/>
  <c r="C79" i="108"/>
  <c r="E79" i="108"/>
  <c r="C2" i="109"/>
  <c r="C79" i="107"/>
  <c r="E79" i="107"/>
  <c r="D79" i="108"/>
  <c r="G15" i="109"/>
  <c r="C153" i="107" l="1"/>
  <c r="D153" i="107"/>
  <c r="G86" i="109"/>
  <c r="E153" i="107"/>
  <c r="D18" i="78"/>
  <c r="C18" i="78"/>
  <c r="B18" i="78"/>
  <c r="D18" i="64"/>
  <c r="C18" i="64"/>
  <c r="B18" i="64"/>
  <c r="C18" i="55"/>
  <c r="B18" i="55"/>
  <c r="C18" i="54"/>
  <c r="B18" i="54"/>
  <c r="D18" i="70"/>
  <c r="C18" i="70"/>
  <c r="B18" i="70"/>
  <c r="C18" i="58"/>
  <c r="B18" i="58"/>
  <c r="D18" i="88"/>
  <c r="C18" i="88"/>
  <c r="B18" i="88"/>
  <c r="B18" i="53"/>
  <c r="D18" i="57"/>
  <c r="C18" i="57"/>
  <c r="B18" i="57"/>
  <c r="D18" i="62"/>
  <c r="C18" i="62"/>
  <c r="B18" i="62"/>
  <c r="D18" i="52"/>
  <c r="C18" i="52"/>
  <c r="B18" i="52"/>
  <c r="D18" i="77"/>
  <c r="C18" i="77"/>
  <c r="B18" i="77"/>
  <c r="C18" i="51"/>
  <c r="B18" i="51"/>
  <c r="C18" i="72"/>
  <c r="B18" i="72"/>
  <c r="C18" i="61"/>
  <c r="B18" i="61"/>
  <c r="C18" i="49"/>
  <c r="B18" i="49"/>
  <c r="D18" i="75"/>
  <c r="C18" i="75"/>
  <c r="B18" i="75"/>
  <c r="D18" i="50"/>
  <c r="C18" i="50"/>
  <c r="B18" i="50"/>
  <c r="D18" i="86"/>
  <c r="C18" i="86"/>
  <c r="B18" i="86"/>
  <c r="D18" i="84"/>
  <c r="C18" i="84"/>
  <c r="B18" i="84"/>
  <c r="C18" i="48"/>
  <c r="B18" i="48"/>
  <c r="D18" i="81"/>
  <c r="C18" i="81"/>
  <c r="B18" i="81"/>
  <c r="D18" i="56"/>
  <c r="C18" i="56"/>
  <c r="B18" i="56"/>
  <c r="D18" i="47"/>
  <c r="C18" i="47"/>
  <c r="B18" i="47"/>
  <c r="D18" i="80"/>
  <c r="C18" i="80"/>
  <c r="B18" i="80"/>
  <c r="D18" i="73"/>
  <c r="C18" i="73"/>
  <c r="B18" i="73"/>
  <c r="C18" i="46"/>
  <c r="B18" i="46"/>
  <c r="C18" i="59"/>
  <c r="B18" i="59"/>
  <c r="C18" i="45"/>
  <c r="B18" i="45"/>
  <c r="D18" i="68"/>
  <c r="C18" i="68"/>
  <c r="B18" i="68"/>
  <c r="D18" i="44"/>
  <c r="C18" i="44"/>
  <c r="B18" i="44"/>
  <c r="D18" i="63"/>
  <c r="C18" i="63"/>
  <c r="B18" i="63"/>
  <c r="D18" i="65"/>
  <c r="C18" i="65"/>
  <c r="B18" i="65"/>
  <c r="D18" i="31"/>
  <c r="C18" i="31"/>
  <c r="B18" i="31"/>
  <c r="D18" i="32"/>
  <c r="C18" i="32"/>
  <c r="B18" i="32"/>
  <c r="C18" i="34"/>
  <c r="B18" i="34"/>
  <c r="D18" i="82"/>
  <c r="C18" i="82"/>
  <c r="B18" i="82"/>
  <c r="D18" i="35"/>
  <c r="B18" i="35"/>
  <c r="C18" i="74"/>
  <c r="B18" i="74"/>
  <c r="D18" i="85"/>
  <c r="C18" i="85"/>
  <c r="B18" i="85"/>
  <c r="C18" i="38"/>
  <c r="B18" i="38"/>
  <c r="D18" i="39"/>
  <c r="C18" i="39"/>
  <c r="B18" i="39"/>
  <c r="D18" i="90"/>
  <c r="C18" i="90"/>
  <c r="B18" i="90"/>
  <c r="D18" i="79"/>
  <c r="C18" i="79"/>
  <c r="B18" i="79"/>
  <c r="D18" i="27"/>
  <c r="C18" i="27"/>
  <c r="B18" i="27"/>
  <c r="D18" i="28"/>
  <c r="C18" i="28"/>
  <c r="B18" i="28"/>
  <c r="C18" i="29"/>
  <c r="B18" i="29"/>
  <c r="D18" i="30"/>
  <c r="C18" i="30"/>
  <c r="B18" i="30"/>
  <c r="D18" i="89"/>
  <c r="C18" i="89"/>
  <c r="B18" i="89"/>
  <c r="D18" i="17"/>
  <c r="C18" i="17"/>
  <c r="B18" i="17"/>
  <c r="E18" i="25"/>
  <c r="C17" i="12" l="1"/>
  <c r="E18" i="44"/>
  <c r="E18" i="85"/>
  <c r="E18" i="84"/>
  <c r="E18" i="55"/>
  <c r="E18" i="82"/>
  <c r="E18" i="32"/>
  <c r="E18" i="65"/>
  <c r="E18" i="45"/>
  <c r="E18" i="46"/>
  <c r="E18" i="80"/>
  <c r="E18" i="61"/>
  <c r="E18" i="52"/>
  <c r="E18" i="88"/>
  <c r="E18" i="39"/>
  <c r="E18" i="35"/>
  <c r="E18" i="31"/>
  <c r="E18" i="68"/>
  <c r="E18" i="73"/>
  <c r="E18" i="81"/>
  <c r="E18" i="50"/>
  <c r="E18" i="51"/>
  <c r="E18" i="57"/>
  <c r="E18" i="70"/>
  <c r="E18" i="34"/>
  <c r="E18" i="63"/>
  <c r="E18" i="59"/>
  <c r="E18" i="78"/>
  <c r="D17" i="12"/>
  <c r="E18" i="30"/>
  <c r="E18" i="27"/>
  <c r="E18" i="90"/>
  <c r="E18" i="38"/>
  <c r="E18" i="74"/>
  <c r="E18" i="56"/>
  <c r="E18" i="48"/>
  <c r="E18" i="86"/>
  <c r="E18" i="75"/>
  <c r="E18" i="28"/>
  <c r="E18" i="49"/>
  <c r="E18" i="72"/>
  <c r="E18" i="77"/>
  <c r="E18" i="62"/>
  <c r="E18" i="53"/>
  <c r="E18" i="58"/>
  <c r="E18" i="54"/>
  <c r="E18" i="64"/>
  <c r="B17" i="12"/>
  <c r="E18" i="29"/>
  <c r="E18" i="47"/>
  <c r="E18" i="89"/>
  <c r="E18" i="79"/>
  <c r="E18" i="17"/>
  <c r="E17" i="12" l="1"/>
  <c r="B12" i="12"/>
  <c r="D12" i="12"/>
  <c r="B13" i="12"/>
  <c r="D13" i="12"/>
  <c r="D14" i="12"/>
  <c r="B15" i="12"/>
  <c r="D15" i="12"/>
  <c r="B19" i="12"/>
  <c r="D19" i="12"/>
  <c r="B20" i="12"/>
  <c r="D20" i="12"/>
  <c r="B21" i="12"/>
  <c r="D21" i="12"/>
  <c r="B22" i="12"/>
  <c r="D22" i="12"/>
  <c r="B23" i="12"/>
  <c r="D23" i="12"/>
  <c r="B24" i="12"/>
  <c r="D24" i="12"/>
  <c r="B26" i="12"/>
  <c r="D26" i="12"/>
  <c r="B27" i="12"/>
  <c r="D27" i="12"/>
  <c r="B28" i="12"/>
  <c r="D28" i="12"/>
  <c r="A2" i="89"/>
  <c r="A2" i="30"/>
  <c r="A2" i="25"/>
  <c r="A2" i="29"/>
  <c r="A2" i="28"/>
  <c r="A2" i="27"/>
  <c r="A2" i="79"/>
  <c r="A2" i="90"/>
  <c r="A2" i="39"/>
  <c r="A2" i="38"/>
  <c r="A2" i="85"/>
  <c r="A2" i="74"/>
  <c r="A2" i="82"/>
  <c r="A2" i="35"/>
  <c r="A2" i="34"/>
  <c r="A2" i="32"/>
  <c r="A2" i="31"/>
  <c r="A2" i="65"/>
  <c r="A2" i="63"/>
  <c r="A2" i="44"/>
  <c r="A2" i="68"/>
  <c r="A2" i="45"/>
  <c r="A2" i="59"/>
  <c r="A2" i="46"/>
  <c r="A2" i="73"/>
  <c r="A2" i="80"/>
  <c r="A2" i="47"/>
  <c r="A2" i="56"/>
  <c r="A2" i="81"/>
  <c r="A2" i="48"/>
  <c r="A2" i="84"/>
  <c r="A2" i="86"/>
  <c r="A2" i="50"/>
  <c r="A2" i="75"/>
  <c r="A2" i="49"/>
  <c r="A2" i="61"/>
  <c r="A2" i="72"/>
  <c r="A2" i="51"/>
  <c r="A2" i="77"/>
  <c r="A2" i="52"/>
  <c r="A2" i="62"/>
  <c r="A2" i="57"/>
  <c r="A2" i="53"/>
  <c r="A2" i="88"/>
  <c r="A2" i="58"/>
  <c r="A2" i="70"/>
  <c r="A2" i="54"/>
  <c r="A2" i="55"/>
  <c r="A2" i="64"/>
  <c r="A2" i="78"/>
  <c r="A2" i="17"/>
  <c r="A1" i="89"/>
  <c r="A1" i="30"/>
  <c r="A1" i="25"/>
  <c r="A1" i="29"/>
  <c r="A1" i="28"/>
  <c r="A1" i="27"/>
  <c r="A1" i="79"/>
  <c r="A1" i="90"/>
  <c r="A1" i="39"/>
  <c r="A1" i="38"/>
  <c r="A1" i="85"/>
  <c r="A1" i="74"/>
  <c r="A1" i="82"/>
  <c r="A1" i="35"/>
  <c r="A1" i="34"/>
  <c r="A1" i="32"/>
  <c r="A1" i="31"/>
  <c r="A1" i="65"/>
  <c r="A1" i="63"/>
  <c r="A1" i="44"/>
  <c r="A1" i="68"/>
  <c r="A1" i="45"/>
  <c r="A1" i="59"/>
  <c r="A1" i="46"/>
  <c r="A1" i="73"/>
  <c r="A1" i="80"/>
  <c r="A1" i="47"/>
  <c r="A1" i="56"/>
  <c r="A1" i="81"/>
  <c r="A1" i="48"/>
  <c r="A1" i="84"/>
  <c r="A1" i="86"/>
  <c r="A1" i="50"/>
  <c r="A1" i="75"/>
  <c r="A1" i="49"/>
  <c r="A1" i="61"/>
  <c r="A1" i="72"/>
  <c r="A1" i="51"/>
  <c r="A1" i="77"/>
  <c r="A1" i="52"/>
  <c r="A1" i="62"/>
  <c r="A1" i="57"/>
  <c r="A1" i="53"/>
  <c r="A1" i="88"/>
  <c r="A1" i="58"/>
  <c r="A1" i="70"/>
  <c r="A1" i="54"/>
  <c r="A1" i="55"/>
  <c r="A1" i="64"/>
  <c r="A1" i="78"/>
  <c r="A1" i="17"/>
  <c r="A1" i="12"/>
  <c r="E27" i="89"/>
  <c r="E26" i="89"/>
  <c r="E25" i="89"/>
  <c r="E24" i="89"/>
  <c r="E23" i="89"/>
  <c r="E22" i="89"/>
  <c r="E21" i="89"/>
  <c r="E20" i="89"/>
  <c r="E19" i="89"/>
  <c r="E15" i="89"/>
  <c r="E27" i="30"/>
  <c r="E26" i="30"/>
  <c r="E25" i="30"/>
  <c r="E24" i="30"/>
  <c r="E23" i="30"/>
  <c r="E22" i="30"/>
  <c r="E21" i="30"/>
  <c r="E20" i="30"/>
  <c r="E19" i="30"/>
  <c r="E15" i="30"/>
  <c r="E27" i="25"/>
  <c r="E26" i="25"/>
  <c r="E25" i="25"/>
  <c r="E24" i="25"/>
  <c r="E23" i="25"/>
  <c r="E22" i="25"/>
  <c r="E21" i="25"/>
  <c r="E20" i="25"/>
  <c r="E19" i="25"/>
  <c r="E15" i="25"/>
  <c r="E27" i="29"/>
  <c r="E26" i="29"/>
  <c r="E25" i="29"/>
  <c r="E24" i="29"/>
  <c r="E23" i="29"/>
  <c r="E22" i="29"/>
  <c r="E21" i="29"/>
  <c r="E20" i="29"/>
  <c r="E19" i="29"/>
  <c r="E15" i="29"/>
  <c r="E27" i="28"/>
  <c r="E26" i="28"/>
  <c r="E25" i="28"/>
  <c r="E24" i="28"/>
  <c r="E23" i="28"/>
  <c r="E22" i="28"/>
  <c r="E21" i="28"/>
  <c r="E20" i="28"/>
  <c r="E19" i="28"/>
  <c r="E15" i="28"/>
  <c r="E27" i="27"/>
  <c r="E26" i="27"/>
  <c r="E25" i="27"/>
  <c r="E24" i="27"/>
  <c r="E23" i="27"/>
  <c r="E22" i="27"/>
  <c r="E21" i="27"/>
  <c r="E20" i="27"/>
  <c r="E19" i="27"/>
  <c r="E15" i="27"/>
  <c r="E27" i="79"/>
  <c r="E26" i="79"/>
  <c r="E25" i="79"/>
  <c r="E24" i="79"/>
  <c r="E23" i="79"/>
  <c r="E22" i="79"/>
  <c r="E21" i="79"/>
  <c r="E20" i="79"/>
  <c r="E19" i="79"/>
  <c r="E15" i="79"/>
  <c r="E27" i="90"/>
  <c r="E26" i="90"/>
  <c r="E25" i="90"/>
  <c r="E24" i="90"/>
  <c r="E23" i="90"/>
  <c r="E22" i="90"/>
  <c r="E21" i="90"/>
  <c r="E20" i="90"/>
  <c r="E19" i="90"/>
  <c r="E15" i="90"/>
  <c r="E27" i="39"/>
  <c r="E26" i="39"/>
  <c r="E25" i="39"/>
  <c r="E24" i="39"/>
  <c r="E23" i="39"/>
  <c r="E22" i="39"/>
  <c r="E21" i="39"/>
  <c r="E20" i="39"/>
  <c r="E19" i="39"/>
  <c r="E15" i="39"/>
  <c r="E27" i="38"/>
  <c r="E26" i="38"/>
  <c r="E25" i="38"/>
  <c r="E24" i="38"/>
  <c r="E23" i="38"/>
  <c r="E22" i="38"/>
  <c r="E21" i="38"/>
  <c r="E20" i="38"/>
  <c r="E19" i="38"/>
  <c r="E15" i="38"/>
  <c r="E27" i="85"/>
  <c r="E26" i="85"/>
  <c r="E25" i="85"/>
  <c r="E24" i="85"/>
  <c r="E23" i="85"/>
  <c r="E22" i="85"/>
  <c r="E21" i="85"/>
  <c r="E20" i="85"/>
  <c r="E19" i="85"/>
  <c r="E15" i="85"/>
  <c r="E27" i="74"/>
  <c r="E26" i="74"/>
  <c r="E25" i="74"/>
  <c r="E24" i="74"/>
  <c r="E23" i="74"/>
  <c r="E22" i="74"/>
  <c r="E21" i="74"/>
  <c r="E20" i="74"/>
  <c r="E19" i="74"/>
  <c r="E15" i="74"/>
  <c r="E27" i="82"/>
  <c r="E26" i="82"/>
  <c r="E25" i="82"/>
  <c r="E24" i="82"/>
  <c r="E23" i="82"/>
  <c r="E22" i="82"/>
  <c r="E21" i="82"/>
  <c r="E20" i="82"/>
  <c r="E19" i="82"/>
  <c r="E15" i="82"/>
  <c r="E27" i="35"/>
  <c r="E26" i="35"/>
  <c r="E25" i="35"/>
  <c r="E24" i="35"/>
  <c r="E23" i="35"/>
  <c r="E22" i="35"/>
  <c r="E21" i="35"/>
  <c r="E20" i="35"/>
  <c r="E19" i="35"/>
  <c r="E15" i="35"/>
  <c r="E27" i="34"/>
  <c r="E26" i="34"/>
  <c r="E25" i="34"/>
  <c r="E24" i="34"/>
  <c r="E23" i="34"/>
  <c r="E22" i="34"/>
  <c r="E21" i="34"/>
  <c r="E20" i="34"/>
  <c r="E19" i="34"/>
  <c r="E15" i="34"/>
  <c r="E27" i="32"/>
  <c r="E26" i="32"/>
  <c r="E25" i="32"/>
  <c r="E24" i="32"/>
  <c r="E23" i="32"/>
  <c r="E22" i="32"/>
  <c r="E21" i="32"/>
  <c r="E20" i="32"/>
  <c r="E19" i="32"/>
  <c r="E15" i="32"/>
  <c r="E27" i="31"/>
  <c r="E26" i="31"/>
  <c r="E25" i="31"/>
  <c r="E24" i="31"/>
  <c r="E23" i="31"/>
  <c r="E22" i="31"/>
  <c r="E21" i="31"/>
  <c r="E20" i="31"/>
  <c r="E19" i="31"/>
  <c r="E15" i="31"/>
  <c r="E27" i="65"/>
  <c r="E26" i="65"/>
  <c r="E25" i="65"/>
  <c r="E24" i="65"/>
  <c r="E23" i="65"/>
  <c r="E22" i="65"/>
  <c r="E21" i="65"/>
  <c r="E20" i="65"/>
  <c r="E19" i="65"/>
  <c r="E15" i="65"/>
  <c r="E27" i="63"/>
  <c r="E26" i="63"/>
  <c r="E25" i="63"/>
  <c r="E24" i="63"/>
  <c r="E23" i="63"/>
  <c r="E22" i="63"/>
  <c r="E21" i="63"/>
  <c r="E20" i="63"/>
  <c r="E19" i="63"/>
  <c r="E15" i="63"/>
  <c r="E27" i="44"/>
  <c r="E26" i="44"/>
  <c r="E25" i="44"/>
  <c r="E24" i="44"/>
  <c r="E23" i="44"/>
  <c r="E22" i="44"/>
  <c r="E21" i="44"/>
  <c r="E20" i="44"/>
  <c r="E19" i="44"/>
  <c r="E15" i="44"/>
  <c r="E27" i="68"/>
  <c r="E26" i="68"/>
  <c r="E25" i="68"/>
  <c r="E24" i="68"/>
  <c r="E23" i="68"/>
  <c r="E22" i="68"/>
  <c r="E21" i="68"/>
  <c r="E20" i="68"/>
  <c r="E19" i="68"/>
  <c r="E15" i="68"/>
  <c r="E27" i="45"/>
  <c r="E26" i="45"/>
  <c r="E25" i="45"/>
  <c r="E24" i="45"/>
  <c r="E23" i="45"/>
  <c r="E22" i="45"/>
  <c r="E21" i="45"/>
  <c r="E20" i="45"/>
  <c r="E19" i="45"/>
  <c r="E15" i="45"/>
  <c r="E27" i="59"/>
  <c r="E26" i="59"/>
  <c r="E25" i="59"/>
  <c r="E24" i="59"/>
  <c r="E23" i="59"/>
  <c r="E22" i="59"/>
  <c r="E21" i="59"/>
  <c r="E20" i="59"/>
  <c r="E19" i="59"/>
  <c r="E15" i="59"/>
  <c r="E27" i="46"/>
  <c r="E26" i="46"/>
  <c r="E25" i="46"/>
  <c r="E24" i="46"/>
  <c r="E23" i="46"/>
  <c r="E22" i="46"/>
  <c r="E21" i="46"/>
  <c r="E20" i="46"/>
  <c r="E19" i="46"/>
  <c r="E15" i="46"/>
  <c r="E27" i="73"/>
  <c r="E26" i="73"/>
  <c r="E25" i="73"/>
  <c r="E24" i="73"/>
  <c r="E23" i="73"/>
  <c r="E22" i="73"/>
  <c r="E21" i="73"/>
  <c r="E20" i="73"/>
  <c r="E19" i="73"/>
  <c r="E15" i="73"/>
  <c r="E27" i="80"/>
  <c r="E26" i="80"/>
  <c r="E25" i="80"/>
  <c r="E24" i="80"/>
  <c r="E23" i="80"/>
  <c r="E22" i="80"/>
  <c r="E21" i="80"/>
  <c r="E20" i="80"/>
  <c r="E19" i="80"/>
  <c r="E15" i="80"/>
  <c r="E27" i="47"/>
  <c r="E26" i="47"/>
  <c r="E25" i="47"/>
  <c r="E24" i="47"/>
  <c r="E23" i="47"/>
  <c r="E22" i="47"/>
  <c r="E21" i="47"/>
  <c r="E20" i="47"/>
  <c r="E19" i="47"/>
  <c r="E15" i="47"/>
  <c r="E27" i="56"/>
  <c r="E26" i="56"/>
  <c r="E25" i="56"/>
  <c r="E24" i="56"/>
  <c r="E23" i="56"/>
  <c r="E22" i="56"/>
  <c r="E21" i="56"/>
  <c r="E20" i="56"/>
  <c r="E19" i="56"/>
  <c r="E15" i="56"/>
  <c r="E27" i="81"/>
  <c r="E26" i="81"/>
  <c r="E25" i="81"/>
  <c r="E24" i="81"/>
  <c r="E23" i="81"/>
  <c r="E22" i="81"/>
  <c r="E21" i="81"/>
  <c r="E20" i="81"/>
  <c r="E19" i="81"/>
  <c r="E15" i="81"/>
  <c r="E27" i="48"/>
  <c r="E26" i="48"/>
  <c r="E25" i="48"/>
  <c r="E24" i="48"/>
  <c r="E23" i="48"/>
  <c r="E22" i="48"/>
  <c r="E21" i="48"/>
  <c r="E20" i="48"/>
  <c r="E19" i="48"/>
  <c r="E15" i="48"/>
  <c r="E27" i="84"/>
  <c r="E26" i="84"/>
  <c r="E25" i="84"/>
  <c r="E24" i="84"/>
  <c r="E23" i="84"/>
  <c r="E22" i="84"/>
  <c r="E21" i="84"/>
  <c r="E20" i="84"/>
  <c r="E19" i="84"/>
  <c r="E15" i="84"/>
  <c r="E27" i="86"/>
  <c r="E26" i="86"/>
  <c r="E25" i="86"/>
  <c r="E24" i="86"/>
  <c r="E23" i="86"/>
  <c r="E22" i="86"/>
  <c r="E21" i="86"/>
  <c r="E20" i="86"/>
  <c r="E19" i="86"/>
  <c r="E15" i="86"/>
  <c r="E27" i="50"/>
  <c r="E26" i="50"/>
  <c r="E25" i="50"/>
  <c r="E24" i="50"/>
  <c r="E23" i="50"/>
  <c r="E22" i="50"/>
  <c r="E21" i="50"/>
  <c r="E20" i="50"/>
  <c r="E19" i="50"/>
  <c r="E15" i="50"/>
  <c r="E27" i="75"/>
  <c r="E26" i="75"/>
  <c r="E25" i="75"/>
  <c r="E24" i="75"/>
  <c r="E23" i="75"/>
  <c r="E22" i="75"/>
  <c r="E21" i="75"/>
  <c r="E20" i="75"/>
  <c r="E19" i="75"/>
  <c r="E15" i="75"/>
  <c r="E27" i="49"/>
  <c r="E26" i="49"/>
  <c r="E25" i="49"/>
  <c r="E24" i="49"/>
  <c r="E23" i="49"/>
  <c r="E22" i="49"/>
  <c r="E21" i="49"/>
  <c r="E20" i="49"/>
  <c r="E19" i="49"/>
  <c r="E15" i="49"/>
  <c r="E27" i="61"/>
  <c r="E26" i="61"/>
  <c r="E25" i="61"/>
  <c r="E24" i="61"/>
  <c r="E23" i="61"/>
  <c r="E22" i="61"/>
  <c r="E21" i="61"/>
  <c r="E20" i="61"/>
  <c r="E19" i="61"/>
  <c r="E15" i="61"/>
  <c r="E27" i="72"/>
  <c r="E26" i="72"/>
  <c r="E25" i="72"/>
  <c r="E24" i="72"/>
  <c r="E23" i="72"/>
  <c r="E22" i="72"/>
  <c r="E21" i="72"/>
  <c r="E20" i="72"/>
  <c r="E19" i="72"/>
  <c r="E15" i="72"/>
  <c r="E27" i="51"/>
  <c r="E26" i="51"/>
  <c r="E25" i="51"/>
  <c r="E24" i="51"/>
  <c r="E23" i="51"/>
  <c r="E22" i="51"/>
  <c r="E21" i="51"/>
  <c r="E20" i="51"/>
  <c r="E19" i="51"/>
  <c r="E15" i="51"/>
  <c r="E27" i="77"/>
  <c r="E26" i="77"/>
  <c r="E25" i="77"/>
  <c r="E24" i="77"/>
  <c r="E23" i="77"/>
  <c r="E22" i="77"/>
  <c r="E21" i="77"/>
  <c r="E20" i="77"/>
  <c r="E19" i="77"/>
  <c r="E15" i="77"/>
  <c r="E27" i="52"/>
  <c r="E26" i="52"/>
  <c r="E25" i="52"/>
  <c r="E24" i="52"/>
  <c r="E23" i="52"/>
  <c r="E22" i="52"/>
  <c r="E21" i="52"/>
  <c r="E20" i="52"/>
  <c r="E19" i="52"/>
  <c r="E15" i="52"/>
  <c r="E27" i="62"/>
  <c r="E26" i="62"/>
  <c r="E25" i="62"/>
  <c r="E24" i="62"/>
  <c r="E23" i="62"/>
  <c r="E22" i="62"/>
  <c r="E21" i="62"/>
  <c r="E20" i="62"/>
  <c r="E19" i="62"/>
  <c r="E15" i="62"/>
  <c r="E27" i="57"/>
  <c r="E26" i="57"/>
  <c r="E25" i="57"/>
  <c r="E24" i="57"/>
  <c r="E23" i="57"/>
  <c r="E22" i="57"/>
  <c r="E21" i="57"/>
  <c r="E20" i="57"/>
  <c r="E19" i="57"/>
  <c r="E15" i="57"/>
  <c r="E27" i="53"/>
  <c r="E26" i="53"/>
  <c r="E25" i="53"/>
  <c r="E24" i="53"/>
  <c r="E23" i="53"/>
  <c r="E22" i="53"/>
  <c r="E21" i="53"/>
  <c r="E20" i="53"/>
  <c r="E19" i="53"/>
  <c r="E15" i="53"/>
  <c r="E27" i="88"/>
  <c r="E26" i="88"/>
  <c r="E25" i="88"/>
  <c r="E24" i="88"/>
  <c r="E23" i="88"/>
  <c r="E22" i="88"/>
  <c r="E21" i="88"/>
  <c r="E20" i="88"/>
  <c r="E19" i="88"/>
  <c r="E15" i="88"/>
  <c r="E27" i="58"/>
  <c r="E26" i="58"/>
  <c r="E25" i="58"/>
  <c r="E24" i="58"/>
  <c r="E23" i="58"/>
  <c r="E22" i="58"/>
  <c r="E21" i="58"/>
  <c r="E20" i="58"/>
  <c r="E19" i="58"/>
  <c r="E15" i="58"/>
  <c r="E27" i="70"/>
  <c r="E26" i="70"/>
  <c r="E25" i="70"/>
  <c r="E24" i="70"/>
  <c r="E23" i="70"/>
  <c r="E22" i="70"/>
  <c r="E21" i="70"/>
  <c r="E20" i="70"/>
  <c r="E19" i="70"/>
  <c r="E15" i="70"/>
  <c r="E27" i="54"/>
  <c r="E26" i="54"/>
  <c r="E25" i="54"/>
  <c r="E24" i="54"/>
  <c r="E23" i="54"/>
  <c r="E22" i="54"/>
  <c r="E21" i="54"/>
  <c r="E20" i="54"/>
  <c r="E19" i="54"/>
  <c r="E15" i="54"/>
  <c r="E27" i="55"/>
  <c r="E26" i="55"/>
  <c r="E25" i="55"/>
  <c r="E24" i="55"/>
  <c r="E23" i="55"/>
  <c r="E22" i="55"/>
  <c r="E21" i="55"/>
  <c r="E20" i="55"/>
  <c r="E19" i="55"/>
  <c r="E15" i="55"/>
  <c r="E27" i="64"/>
  <c r="E26" i="64"/>
  <c r="E25" i="64"/>
  <c r="E24" i="64"/>
  <c r="E23" i="64"/>
  <c r="E22" i="64"/>
  <c r="E21" i="64"/>
  <c r="E20" i="64"/>
  <c r="E19" i="64"/>
  <c r="E15" i="64"/>
  <c r="E27" i="78"/>
  <c r="E26" i="78"/>
  <c r="E25" i="78"/>
  <c r="E24" i="78"/>
  <c r="E23" i="78"/>
  <c r="E22" i="78"/>
  <c r="E21" i="78"/>
  <c r="E20" i="78"/>
  <c r="E19" i="78"/>
  <c r="E15" i="78"/>
  <c r="E27" i="17"/>
  <c r="E26" i="17"/>
  <c r="E25" i="17"/>
  <c r="E24" i="17"/>
  <c r="E23" i="17"/>
  <c r="E22" i="17"/>
  <c r="E21" i="17"/>
  <c r="E20" i="17"/>
  <c r="E19" i="17"/>
  <c r="E15" i="17"/>
  <c r="E14" i="89"/>
  <c r="E14" i="30"/>
  <c r="E14" i="25"/>
  <c r="E14" i="29"/>
  <c r="E14" i="28"/>
  <c r="E14" i="27"/>
  <c r="E14" i="79"/>
  <c r="E14" i="90"/>
  <c r="E14" i="39"/>
  <c r="E14" i="38"/>
  <c r="E14" i="85"/>
  <c r="E14" i="74"/>
  <c r="E14" i="82"/>
  <c r="E14" i="35"/>
  <c r="E14" i="34"/>
  <c r="E14" i="32"/>
  <c r="E14" i="31"/>
  <c r="E14" i="65"/>
  <c r="E14" i="63"/>
  <c r="E14" i="44"/>
  <c r="E14" i="68"/>
  <c r="E14" i="45"/>
  <c r="E14" i="59"/>
  <c r="E14" i="46"/>
  <c r="E14" i="73"/>
  <c r="E14" i="80"/>
  <c r="E14" i="47"/>
  <c r="E14" i="56"/>
  <c r="E14" i="81"/>
  <c r="E14" i="48"/>
  <c r="E14" i="84"/>
  <c r="E14" i="86"/>
  <c r="E14" i="50"/>
  <c r="E14" i="75"/>
  <c r="E14" i="49"/>
  <c r="E14" i="61"/>
  <c r="E14" i="72"/>
  <c r="E14" i="51"/>
  <c r="E14" i="77"/>
  <c r="E14" i="52"/>
  <c r="E14" i="62"/>
  <c r="E14" i="57"/>
  <c r="E14" i="53"/>
  <c r="E14" i="88"/>
  <c r="E14" i="58"/>
  <c r="E14" i="70"/>
  <c r="E14" i="54"/>
  <c r="E14" i="55"/>
  <c r="E14" i="64"/>
  <c r="E14" i="78"/>
  <c r="E14" i="17"/>
  <c r="C4" i="90"/>
  <c r="A10" i="12"/>
  <c r="A12" i="90" s="1"/>
  <c r="E17" i="90"/>
  <c r="A29" i="90"/>
  <c r="E17" i="89"/>
  <c r="E17" i="30"/>
  <c r="E17" i="25"/>
  <c r="E17" i="29"/>
  <c r="E17" i="28"/>
  <c r="E17" i="27"/>
  <c r="E17" i="79"/>
  <c r="E17" i="39"/>
  <c r="E17" i="38"/>
  <c r="E17" i="85"/>
  <c r="E17" i="74"/>
  <c r="E17" i="82"/>
  <c r="E17" i="35"/>
  <c r="E17" i="34"/>
  <c r="E17" i="32"/>
  <c r="E17" i="31"/>
  <c r="E17" i="65"/>
  <c r="E17" i="63"/>
  <c r="E17" i="44"/>
  <c r="E17" i="68"/>
  <c r="E17" i="45"/>
  <c r="E17" i="59"/>
  <c r="E17" i="46"/>
  <c r="E17" i="73"/>
  <c r="E17" i="80"/>
  <c r="E17" i="47"/>
  <c r="E17" i="56"/>
  <c r="E17" i="81"/>
  <c r="E17" i="48"/>
  <c r="E17" i="84"/>
  <c r="E17" i="86"/>
  <c r="E17" i="50"/>
  <c r="E17" i="75"/>
  <c r="E17" i="49"/>
  <c r="E17" i="61"/>
  <c r="E17" i="72"/>
  <c r="E17" i="51"/>
  <c r="E17" i="77"/>
  <c r="E17" i="52"/>
  <c r="E17" i="62"/>
  <c r="E17" i="57"/>
  <c r="E17" i="53"/>
  <c r="E17" i="88"/>
  <c r="E17" i="58"/>
  <c r="E17" i="70"/>
  <c r="E17" i="54"/>
  <c r="E17" i="55"/>
  <c r="E17" i="64"/>
  <c r="E17" i="78"/>
  <c r="E17" i="17"/>
  <c r="C4" i="78"/>
  <c r="A29" i="78"/>
  <c r="C4" i="64"/>
  <c r="A29" i="64"/>
  <c r="C4" i="55"/>
  <c r="A29" i="55"/>
  <c r="C4" i="54"/>
  <c r="A29" i="54"/>
  <c r="C4" i="70"/>
  <c r="A29" i="70"/>
  <c r="C4" i="58"/>
  <c r="A29" i="58"/>
  <c r="C4" i="88"/>
  <c r="A29" i="88"/>
  <c r="A29" i="53"/>
  <c r="C4" i="57"/>
  <c r="A29" i="57"/>
  <c r="C4" i="62"/>
  <c r="A29" i="62"/>
  <c r="C4" i="52"/>
  <c r="A29" i="52"/>
  <c r="C4" i="77"/>
  <c r="A29" i="77"/>
  <c r="C4" i="51"/>
  <c r="A29" i="51"/>
  <c r="C4" i="72"/>
  <c r="A29" i="72"/>
  <c r="C4" i="61"/>
  <c r="A29" i="61"/>
  <c r="C4" i="49"/>
  <c r="A29" i="49"/>
  <c r="C4" i="75"/>
  <c r="A29" i="75"/>
  <c r="C4" i="50"/>
  <c r="A29" i="50"/>
  <c r="C4" i="86"/>
  <c r="A29" i="86"/>
  <c r="C4" i="84"/>
  <c r="A29" i="84"/>
  <c r="C4" i="48"/>
  <c r="A29" i="48"/>
  <c r="C4" i="81"/>
  <c r="A29" i="81"/>
  <c r="C4" i="56"/>
  <c r="A29" i="56"/>
  <c r="C4" i="47"/>
  <c r="A29" i="47"/>
  <c r="C4" i="80"/>
  <c r="A29" i="80"/>
  <c r="C4" i="73"/>
  <c r="A29" i="73"/>
  <c r="C4" i="46"/>
  <c r="A29" i="46"/>
  <c r="C4" i="59"/>
  <c r="A29" i="59"/>
  <c r="C4" i="45"/>
  <c r="A29" i="45"/>
  <c r="C4" i="68"/>
  <c r="A29" i="68"/>
  <c r="C4" i="44"/>
  <c r="A29" i="44"/>
  <c r="C4" i="63"/>
  <c r="A29" i="63"/>
  <c r="C4" i="65"/>
  <c r="A29" i="65"/>
  <c r="C4" i="31"/>
  <c r="A29" i="31"/>
  <c r="C4" i="32"/>
  <c r="A29" i="32"/>
  <c r="C4" i="34"/>
  <c r="A29" i="34"/>
  <c r="A29" i="35"/>
  <c r="C4" i="82"/>
  <c r="A29" i="82"/>
  <c r="C4" i="74"/>
  <c r="A29" i="74"/>
  <c r="C4" i="85"/>
  <c r="A29" i="85"/>
  <c r="C4" i="38"/>
  <c r="A29" i="38"/>
  <c r="C4" i="39"/>
  <c r="A29" i="39"/>
  <c r="C4" i="79"/>
  <c r="A29" i="79"/>
  <c r="C4" i="27"/>
  <c r="A29" i="27"/>
  <c r="C4" i="28"/>
  <c r="A29" i="28"/>
  <c r="C4" i="29"/>
  <c r="A30" i="29"/>
  <c r="C4" i="25"/>
  <c r="A30" i="25"/>
  <c r="C4" i="30"/>
  <c r="A29" i="30"/>
  <c r="C4" i="89"/>
  <c r="A29" i="89"/>
  <c r="C4" i="17"/>
  <c r="A29" i="17"/>
  <c r="A2" i="12"/>
  <c r="A4" i="12"/>
  <c r="A12" i="25" l="1"/>
  <c r="A12" i="78"/>
  <c r="A12" i="74"/>
  <c r="A12" i="44"/>
  <c r="A12" i="56"/>
  <c r="A12" i="61"/>
  <c r="A12" i="28"/>
  <c r="A12" i="35"/>
  <c r="A12" i="45"/>
  <c r="A12" i="48"/>
  <c r="A12" i="51"/>
  <c r="A12" i="79"/>
  <c r="A12" i="32"/>
  <c r="A12" i="46"/>
  <c r="A12" i="86"/>
  <c r="A12" i="52"/>
  <c r="A12" i="89"/>
  <c r="A12" i="38"/>
  <c r="A12" i="65"/>
  <c r="A12" i="80"/>
  <c r="A12" i="75"/>
  <c r="A12" i="17"/>
  <c r="A12" i="30"/>
  <c r="A12" i="29"/>
  <c r="A12" i="27"/>
  <c r="A12" i="39"/>
  <c r="A12" i="85"/>
  <c r="A12" i="82"/>
  <c r="A12" i="34"/>
  <c r="A12" i="31"/>
  <c r="A12" i="63"/>
  <c r="A12" i="68"/>
  <c r="A12" i="59"/>
  <c r="A12" i="73"/>
  <c r="A12" i="47"/>
  <c r="A12" i="81"/>
  <c r="A12" i="84"/>
  <c r="A12" i="50"/>
  <c r="A12" i="49"/>
  <c r="A12" i="72"/>
  <c r="A12" i="77"/>
  <c r="A12" i="62"/>
  <c r="A12" i="58"/>
  <c r="E12" i="12"/>
  <c r="K16" i="1" s="1"/>
  <c r="B18" i="12"/>
  <c r="A12" i="53"/>
  <c r="A12" i="54"/>
  <c r="A12" i="57"/>
  <c r="A12" i="88"/>
  <c r="A12" i="70"/>
  <c r="A12" i="64"/>
  <c r="E26" i="12"/>
  <c r="C58" i="1" s="1"/>
  <c r="K58" i="1" s="1"/>
  <c r="D16" i="12"/>
  <c r="E19" i="12"/>
  <c r="C29" i="1" s="1"/>
  <c r="E21" i="12"/>
  <c r="C32" i="1" s="1"/>
  <c r="D18" i="12"/>
  <c r="B16" i="12"/>
  <c r="E27" i="12"/>
  <c r="C59" i="1" s="1"/>
  <c r="K59" i="1" s="1"/>
  <c r="E23" i="12"/>
  <c r="E22" i="12"/>
  <c r="E20" i="12"/>
  <c r="C31" i="1" s="1"/>
  <c r="K31" i="1" s="1"/>
  <c r="E28" i="12"/>
  <c r="C60" i="1" s="1"/>
  <c r="K60" i="1" s="1"/>
  <c r="E24" i="12"/>
  <c r="C56" i="1" s="1"/>
  <c r="K56" i="1" s="1"/>
  <c r="E13" i="12"/>
  <c r="C17" i="1" s="1"/>
  <c r="K17" i="1" s="1"/>
  <c r="E15" i="12"/>
  <c r="C21" i="1" s="1"/>
  <c r="K21" i="1" s="1"/>
  <c r="K25" i="1" s="1"/>
  <c r="A12" i="55"/>
  <c r="E14" i="12"/>
  <c r="C20" i="1" s="1"/>
  <c r="K20" i="1" s="1"/>
  <c r="K32" i="1" l="1"/>
  <c r="E32" i="1"/>
  <c r="F32" i="1"/>
  <c r="G32" i="1"/>
  <c r="D32" i="1"/>
  <c r="K29" i="1"/>
  <c r="D29" i="1"/>
  <c r="E29" i="1"/>
  <c r="F29" i="1"/>
  <c r="K18" i="1"/>
  <c r="K22" i="1"/>
  <c r="K24" i="1"/>
  <c r="K26" i="1" s="1"/>
  <c r="G17" i="1"/>
  <c r="J17" i="1"/>
  <c r="F17" i="1"/>
  <c r="I17" i="1"/>
  <c r="H17" i="1"/>
  <c r="H60" i="1"/>
  <c r="J60" i="1"/>
  <c r="I60" i="1"/>
  <c r="H21" i="1"/>
  <c r="J21" i="1"/>
  <c r="I21" i="1"/>
  <c r="H59" i="1"/>
  <c r="J59" i="1"/>
  <c r="I59" i="1"/>
  <c r="J31" i="1"/>
  <c r="I31" i="1"/>
  <c r="J29" i="1"/>
  <c r="I29" i="1"/>
  <c r="H58" i="1"/>
  <c r="J58" i="1"/>
  <c r="I58" i="1"/>
  <c r="H56" i="1"/>
  <c r="J56" i="1"/>
  <c r="I56" i="1"/>
  <c r="J32" i="1"/>
  <c r="I32" i="1"/>
  <c r="H20" i="1"/>
  <c r="J20" i="1"/>
  <c r="J24" i="1" s="1"/>
  <c r="I20" i="1"/>
  <c r="I24" i="1" s="1"/>
  <c r="H16" i="1"/>
  <c r="J16" i="1"/>
  <c r="I16" i="1"/>
  <c r="H32" i="1"/>
  <c r="H31" i="1"/>
  <c r="H29" i="1"/>
  <c r="G21" i="1"/>
  <c r="F21" i="1"/>
  <c r="G59" i="1"/>
  <c r="F59" i="1"/>
  <c r="E59" i="1"/>
  <c r="D59" i="1"/>
  <c r="G29" i="1"/>
  <c r="G31" i="1"/>
  <c r="F31" i="1"/>
  <c r="G60" i="1"/>
  <c r="E60" i="1"/>
  <c r="F60" i="1"/>
  <c r="D60" i="1"/>
  <c r="G58" i="1"/>
  <c r="F58" i="1"/>
  <c r="E58" i="1"/>
  <c r="D58" i="1"/>
  <c r="D56" i="1"/>
  <c r="G56" i="1"/>
  <c r="F56" i="1"/>
  <c r="E56" i="1"/>
  <c r="G20" i="1"/>
  <c r="G24" i="1" s="1"/>
  <c r="F20" i="1"/>
  <c r="F24" i="1" s="1"/>
  <c r="G16" i="1"/>
  <c r="F16" i="1"/>
  <c r="E20" i="1"/>
  <c r="E21" i="1"/>
  <c r="D31" i="1"/>
  <c r="E31" i="1"/>
  <c r="E16" i="1"/>
  <c r="D17" i="1"/>
  <c r="E17" i="1"/>
  <c r="D21" i="1"/>
  <c r="C25" i="1"/>
  <c r="E16" i="12"/>
  <c r="E18" i="12"/>
  <c r="C33" i="1"/>
  <c r="C22" i="1"/>
  <c r="L37" i="1" s="1"/>
  <c r="D20" i="1"/>
  <c r="D16" i="1"/>
  <c r="C18" i="1"/>
  <c r="L40" i="1" l="1"/>
  <c r="D40" i="1" s="1"/>
  <c r="L39" i="1"/>
  <c r="D33" i="1"/>
  <c r="K33" i="1"/>
  <c r="K35" i="1" s="1"/>
  <c r="K44" i="1" s="1"/>
  <c r="L38" i="1"/>
  <c r="D38" i="1" s="1"/>
  <c r="L31" i="1"/>
  <c r="L29" i="1"/>
  <c r="L21" i="1"/>
  <c r="L25" i="1" s="1"/>
  <c r="L17" i="1"/>
  <c r="L16" i="1"/>
  <c r="H24" i="1"/>
  <c r="L20" i="1"/>
  <c r="E24" i="1"/>
  <c r="J18" i="1"/>
  <c r="J25" i="1"/>
  <c r="I25" i="1"/>
  <c r="I33" i="1"/>
  <c r="H33" i="1"/>
  <c r="H25" i="1"/>
  <c r="H18" i="1"/>
  <c r="D24" i="1"/>
  <c r="E25" i="1"/>
  <c r="F25" i="1"/>
  <c r="G25" i="1"/>
  <c r="G18" i="1"/>
  <c r="E18" i="1"/>
  <c r="E22" i="1"/>
  <c r="D18" i="1"/>
  <c r="D25" i="1"/>
  <c r="D22" i="1"/>
  <c r="L41" i="1" l="1"/>
  <c r="C24" i="1"/>
  <c r="C26" i="1" s="1"/>
  <c r="I18" i="1"/>
  <c r="J26" i="1"/>
  <c r="J22" i="1"/>
  <c r="J33" i="1"/>
  <c r="I26" i="1"/>
  <c r="I22" i="1"/>
  <c r="L22" i="1"/>
  <c r="H26" i="1"/>
  <c r="H22" i="1"/>
  <c r="L18" i="1"/>
  <c r="F22" i="1"/>
  <c r="F26" i="1"/>
  <c r="E26" i="1"/>
  <c r="G33" i="1"/>
  <c r="G22" i="1"/>
  <c r="G26" i="1"/>
  <c r="F18" i="1"/>
  <c r="L32" i="1" s="1"/>
  <c r="L33" i="1" s="1"/>
  <c r="F33" i="1" l="1"/>
  <c r="F35" i="1" s="1"/>
  <c r="F44" i="1" s="1"/>
  <c r="L24" i="1"/>
  <c r="L26" i="1" s="1"/>
  <c r="L35" i="1" s="1"/>
  <c r="L45" i="1" s="1"/>
  <c r="L51" i="1" s="1"/>
  <c r="I35" i="1"/>
  <c r="I44" i="1" s="1"/>
  <c r="J35" i="1"/>
  <c r="J44" i="1" s="1"/>
  <c r="H35" i="1"/>
  <c r="H44" i="1" s="1"/>
  <c r="G35" i="1"/>
  <c r="G44" i="1" s="1"/>
  <c r="E33" i="1"/>
  <c r="E35" i="1" s="1"/>
  <c r="E44" i="1" s="1"/>
  <c r="D26" i="1"/>
  <c r="D35" i="1" s="1"/>
  <c r="D44" i="1" s="1"/>
  <c r="C35" i="1"/>
</calcChain>
</file>

<file path=xl/sharedStrings.xml><?xml version="1.0" encoding="utf-8"?>
<sst xmlns="http://schemas.openxmlformats.org/spreadsheetml/2006/main" count="2015" uniqueCount="313">
  <si>
    <t>Monthly Reporting Package - Blue Tabs</t>
  </si>
  <si>
    <t>These should be filled out on a monthly basis</t>
  </si>
  <si>
    <t>Please only input data in the yellow shaded "input" areas. All other fields contain formulas that will automatically fill in once "input" areas are completed.</t>
  </si>
  <si>
    <t>The "MTHLY-State" sheets will feed into the "MTHLY-TOTAL" sheet. The only fields on the "MTHLY-TOTAL" sheet that should be filled are the "Polices in Force" field.</t>
  </si>
  <si>
    <t>The "Cash Settlement" sheet calculates from the "MTHLY-TOTAL" sheet. The "Ending Balance Due SNIC" shows the amount due to USIC for the reported month.</t>
  </si>
  <si>
    <t>Year- End Reporting Package - Yellow Tabs</t>
  </si>
  <si>
    <t>These should only be filled out when requested at year end</t>
  </si>
  <si>
    <t>Please input your data in the PINK highlighted cells only.</t>
  </si>
  <si>
    <t>Please provide a separate workbook for each company (SNIC, NSIC or USIC) if applicable and each treaty (contract) period.</t>
  </si>
  <si>
    <t>All data provided for the accounting months must reconcile to previous monthly exhibits.  If you find any errors/differences, you must provide revised exhibits for the applicable reporting period(s).</t>
  </si>
  <si>
    <t>EXTRACTED FROM NAIC INSTRUCTION</t>
  </si>
  <si>
    <t>Expenses Definition</t>
  </si>
  <si>
    <t>The loss adjustment expenses used to be divided into "allocated" and "unallocated," which were terms that were</t>
  </si>
  <si>
    <t>never clearly defined.  Effective January 1, 1998, a detailed definition of these expenses was adopted.  The distinction</t>
  </si>
  <si>
    <t>is now between "defense &amp; Cost Containment" and "Adjusting &amp; Other."  The loss adjustment expenses are separated</t>
  </si>
  <si>
    <t>with the intent of identifying the "Defense &amp; Cost Containment" expenses as those, which are correlated with the loss</t>
  </si>
  <si>
    <t xml:space="preserve">amounts, and the "Adjusting &amp; Other" as those expenses, which are correlated with claim, count or are general loss </t>
  </si>
  <si>
    <t xml:space="preserve">adjusting expenses.  It is the character of the expenses that is most important, not whether the expenses were internal </t>
  </si>
  <si>
    <t>or external to the insurer.</t>
  </si>
  <si>
    <t>Defense &amp; Cost Containment expenses include defense, litigation and cost containment expenses, whether internal or</t>
  </si>
  <si>
    <t xml:space="preserve">external. "Defense" means defense by the insurer in a contentious situation, whether a first party or a third party claim. The </t>
  </si>
  <si>
    <t xml:space="preserve">fees charged for insurer employees should include overhead, just as an outside firm's charges would include. The expenses </t>
  </si>
  <si>
    <t>exclude expenses incurred in the determination of coverage. These expenses include the following items:</t>
  </si>
  <si>
    <t>Surveillance expenses;</t>
  </si>
  <si>
    <t>Fixed amounts for cost containment expenses;</t>
  </si>
  <si>
    <t>Litigation management expenses;</t>
  </si>
  <si>
    <t>Loss adjustment expenses for participation in voluntary and involuntary market pools if reported by accident year;</t>
  </si>
  <si>
    <t xml:space="preserve">Fees or salaries for appraisers, private investigators, hearing representatives, reinspectors and fraud investigators, </t>
  </si>
  <si>
    <t>if working in defense of a claim, and fees or salaries for rehabilitation nurses, if such cost is not included in losses;</t>
  </si>
  <si>
    <t xml:space="preserve">Attorney fees incurred owing to a duty to defend, even when other coverage does not exist; and </t>
  </si>
  <si>
    <t>The cost of engaging experts.</t>
  </si>
  <si>
    <t xml:space="preserve">Adjusting &amp; Other expenses are those expenses other than those above and which have been assigned to the "Loss Adjustment </t>
  </si>
  <si>
    <t>Expense" group in the Underwriting and Investment Exhibit – Part 4 – Expenses. These expenses include the following items:</t>
  </si>
  <si>
    <t>Fees of adjusters and settling agents (but not if engaged in a contentious defense);</t>
  </si>
  <si>
    <t>Loss adjustment expenses for participation in voluntary and involuntary market pools if reported by calendar year;</t>
  </si>
  <si>
    <t>Attorney fees incurred in the determination of coverage, including litigation between the insurer and the policyholder;</t>
  </si>
  <si>
    <t>Fees or salaries for appraisers, private investigators, hearing representatives, reinspectors and fraud investigators,</t>
  </si>
  <si>
    <t>if working in the capacity of an adjuster.</t>
  </si>
  <si>
    <t xml:space="preserve">The foregoing list is not intended to be all-inclusive.  We are relying on the insurers to use reasonable judgment in particular </t>
  </si>
  <si>
    <t>situations.</t>
  </si>
  <si>
    <t xml:space="preserve">The "Defense &amp; Cost Containment" expenses should be assigned to the accident year in which the associated losses were </t>
  </si>
  <si>
    <t>assigned.  The "Adjusting &amp; Other" expenses can be assigned in any justifiable way among the accident years.  The preferred</t>
  </si>
  <si>
    <t>way is to apportion these expenses in proportion to the number of claims reported, closed, or outstanding each year.</t>
  </si>
  <si>
    <t>PRODUCER:  FUTURISTIC  UNDERWRITERS LLC.</t>
  </si>
  <si>
    <t>Input area</t>
  </si>
  <si>
    <t>Q/S</t>
  </si>
  <si>
    <t>COMPANY:  SOUTHLAKE SPECIALTY INSURANCE COMPANY</t>
  </si>
  <si>
    <t>CF</t>
  </si>
  <si>
    <t>Comm</t>
  </si>
  <si>
    <t>TREATY YEAR :  5/1/2020</t>
  </si>
  <si>
    <t>BB</t>
  </si>
  <si>
    <t>ULAE</t>
  </si>
  <si>
    <t>XOL</t>
  </si>
  <si>
    <t xml:space="preserve">100% QUOTA SHARE      </t>
  </si>
  <si>
    <t>LR Cap</t>
  </si>
  <si>
    <t>FOR THE MONTH OF</t>
  </si>
  <si>
    <t>(2)</t>
  </si>
  <si>
    <t>REINSURERS</t>
  </si>
  <si>
    <t>(3)</t>
  </si>
  <si>
    <t>(1)</t>
  </si>
  <si>
    <t>AMOUNT</t>
  </si>
  <si>
    <t>STATE NAT'L</t>
  </si>
  <si>
    <t>TOTAL</t>
  </si>
  <si>
    <t>SSIC</t>
  </si>
  <si>
    <t>ISMIE</t>
  </si>
  <si>
    <t>Ambridge Re</t>
  </si>
  <si>
    <t>Liberty Mutual Re</t>
  </si>
  <si>
    <t>100 %</t>
  </si>
  <si>
    <t>1.</t>
  </si>
  <si>
    <t>QUOTA SHARE PREMIUMS WRITTEN</t>
  </si>
  <si>
    <t>2.</t>
  </si>
  <si>
    <t>POLICY FEES:</t>
  </si>
  <si>
    <t>3.</t>
  </si>
  <si>
    <t>NET PREMIUMS INCLUDING POLICY FEES</t>
  </si>
  <si>
    <t>4.</t>
  </si>
  <si>
    <t>COLLECTED PREMIUMS</t>
  </si>
  <si>
    <t>5.</t>
  </si>
  <si>
    <t>6.</t>
  </si>
  <si>
    <t>NET COLLECTED PREMIUMS INCLUDING POLICY FEES</t>
  </si>
  <si>
    <t>7.</t>
  </si>
  <si>
    <t xml:space="preserve">LESS:  COMMISSION DUE </t>
  </si>
  <si>
    <t>LESS:  POLICY FEES</t>
  </si>
  <si>
    <t>TOTAL COMMISSION DUE</t>
  </si>
  <si>
    <t>8.</t>
  </si>
  <si>
    <t xml:space="preserve">LESS:  LOSS FUNDING </t>
  </si>
  <si>
    <t>LESS:  LOSSES PAID (net of salvage &amp; subro)</t>
  </si>
  <si>
    <t>LESS:  UNALLOCATED LOSS ADJUSTMENT EXPENSE</t>
  </si>
  <si>
    <t>LESS:  DEFENSE AND COST CONTAINMENT EXPENSE PAID (DCC)</t>
  </si>
  <si>
    <t>LESS:  ADJUSTING &amp; OTHER EXPENSE PAID (A&amp;O)</t>
  </si>
  <si>
    <t>TOTAL LOSSES PAID</t>
  </si>
  <si>
    <t xml:space="preserve">SUBTOTAL DUE </t>
  </si>
  <si>
    <t>9.</t>
  </si>
  <si>
    <t>CEDING FEE DUE</t>
  </si>
  <si>
    <t>**</t>
  </si>
  <si>
    <t>10.</t>
  </si>
  <si>
    <t>BOARDS &amp; BUREAUS DUE</t>
  </si>
  <si>
    <t>11.</t>
  </si>
  <si>
    <t>XOL FEES DUE</t>
  </si>
  <si>
    <t>12.</t>
  </si>
  <si>
    <t>TOTAL TAXES &amp;  FEES DUE</t>
  </si>
  <si>
    <t>TOTAL BALANCE DUE REINSURERS</t>
  </si>
  <si>
    <t>…………………….</t>
  </si>
  <si>
    <t>TOTAL BALANCE DUE SSIC</t>
  </si>
  <si>
    <t>……………………………………………</t>
  </si>
  <si>
    <t>Beginning Balance Due TO/(FROM) SSIC:</t>
  </si>
  <si>
    <t>carry from last month</t>
  </si>
  <si>
    <t xml:space="preserve">Less: Amounts Paid TO/(FROM) SSIC </t>
  </si>
  <si>
    <t>Ending Balance Due TO/(FROM)  SSIC:</t>
  </si>
  <si>
    <t>UNEARNED PREMIUM</t>
  </si>
  <si>
    <t>OUTSTANDING LOSS RESERVES</t>
  </si>
  <si>
    <t>OUTSTANDING LAE RESERVES</t>
  </si>
  <si>
    <t>OUTSTANDING ULAE RESERVES</t>
  </si>
  <si>
    <t>** Min. Ceding Fee: $125,000 for each 6 month period.</t>
  </si>
  <si>
    <t>EXHIBIT OF PREMIUMS AND LOSSES</t>
  </si>
  <si>
    <t>TOTAL PROGRAM BY LINE OF BUSINESS</t>
  </si>
  <si>
    <r>
      <t xml:space="preserve">STATE   </t>
    </r>
    <r>
      <rPr>
        <b/>
        <u/>
        <sz val="12"/>
        <rFont val="Arial"/>
        <family val="2"/>
      </rPr>
      <t>All States</t>
    </r>
  </si>
  <si>
    <t>Comm'l Auto</t>
  </si>
  <si>
    <t>Other Comm'l</t>
  </si>
  <si>
    <t>TOTALS</t>
  </si>
  <si>
    <t>Inland Marine</t>
  </si>
  <si>
    <t>Auto Liab</t>
  </si>
  <si>
    <t>Phys. Damage</t>
  </si>
  <si>
    <t>Premiums Written</t>
  </si>
  <si>
    <t>Policy Fees Written</t>
  </si>
  <si>
    <t>Premiums Collected</t>
  </si>
  <si>
    <t>Policy Fees Collected</t>
  </si>
  <si>
    <t>Front/Ceding Fees</t>
  </si>
  <si>
    <t>Premium Taxes</t>
  </si>
  <si>
    <t>Boards &amp; Bureau</t>
  </si>
  <si>
    <t>Losses Paid (Net of Salvage &amp; Subrogation)</t>
  </si>
  <si>
    <r>
      <t xml:space="preserve">Defense &amp; Cost Containment Expenses Paid </t>
    </r>
    <r>
      <rPr>
        <b/>
        <sz val="12"/>
        <color rgb="FF0000FF"/>
        <rFont val="Times New Roman"/>
        <family val="1"/>
      </rPr>
      <t>- (ALAE)</t>
    </r>
  </si>
  <si>
    <r>
      <t xml:space="preserve">Adjusting &amp; Other Expenses Paid </t>
    </r>
    <r>
      <rPr>
        <b/>
        <sz val="12"/>
        <color rgb="FF0000FF"/>
        <rFont val="Times New Roman"/>
        <family val="1"/>
      </rPr>
      <t>- (ULAE-TPA Fees)</t>
    </r>
  </si>
  <si>
    <t>Premium Earned - YTD</t>
  </si>
  <si>
    <t>Policy Fees Earned - YTD</t>
  </si>
  <si>
    <t>Unearned Premium Reserves</t>
  </si>
  <si>
    <t>NUMBER OF POLICIES IN FORCE</t>
  </si>
  <si>
    <t xml:space="preserve">Direct Losses Unpaid </t>
  </si>
  <si>
    <r>
      <t xml:space="preserve">Defense &amp; Cost Containment Unpaid </t>
    </r>
    <r>
      <rPr>
        <b/>
        <sz val="12"/>
        <color rgb="FF0000FF"/>
        <rFont val="Times New Roman"/>
        <family val="1"/>
      </rPr>
      <t>- (ALAE)</t>
    </r>
  </si>
  <si>
    <t>Adjusting &amp; Other Unpaid - (ULAE-TPA Fees)</t>
  </si>
  <si>
    <t>Submitted by: ______________</t>
  </si>
  <si>
    <t>BY LINE, BY STATE</t>
  </si>
  <si>
    <t>No-Fault</t>
  </si>
  <si>
    <t>Defense &amp; Cost Containment Expenses Paid</t>
  </si>
  <si>
    <t>Adjusting &amp; Other Expenses Paid</t>
  </si>
  <si>
    <t xml:space="preserve">Unearned Premium Reserves </t>
  </si>
  <si>
    <t xml:space="preserve">Defense &amp; Cost Containment Unpaid </t>
  </si>
  <si>
    <t xml:space="preserve">Adjusting &amp; Other Unpaid </t>
  </si>
  <si>
    <r>
      <t>Defense &amp; Cost Containment Unpaid -</t>
    </r>
    <r>
      <rPr>
        <b/>
        <sz val="12"/>
        <color rgb="FF0000FF"/>
        <rFont val="Times New Roman"/>
        <family val="1"/>
      </rPr>
      <t>- (ALAE)</t>
    </r>
  </si>
  <si>
    <t xml:space="preserve">    </t>
  </si>
  <si>
    <t>June-25</t>
  </si>
  <si>
    <t>CA</t>
  </si>
  <si>
    <t xml:space="preserve"> </t>
  </si>
  <si>
    <r>
      <t xml:space="preserve">Adjusting &amp; Other Expenses Paid </t>
    </r>
    <r>
      <rPr>
        <b/>
        <sz val="12"/>
        <color rgb="FF0000FF"/>
        <rFont val="Times New Roman"/>
        <family val="1"/>
      </rPr>
      <t>(ULAE)</t>
    </r>
  </si>
  <si>
    <t>September-25</t>
  </si>
  <si>
    <t>TX</t>
  </si>
  <si>
    <t>Policies in force at 11/30/2013</t>
  </si>
  <si>
    <t>INPUT AREA</t>
  </si>
  <si>
    <t>*Note: Because some polices may have more than one line of coverage, please KEY in the total number of policies in column E (DO NOT create a formula in col E to sum the row)</t>
  </si>
  <si>
    <t>STATE</t>
  </si>
  <si>
    <r>
      <t>TOTAL</t>
    </r>
    <r>
      <rPr>
        <b/>
        <sz val="12"/>
        <color indexed="10"/>
        <rFont val="Arial"/>
        <family val="2"/>
      </rPr>
      <t>*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</si>
  <si>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</si>
  <si>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</si>
  <si>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</si>
  <si>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</si>
  <si>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</si>
  <si>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</si>
  <si>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</si>
  <si>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</si>
  <si>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</si>
  <si>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</si>
  <si>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</si>
  <si>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</si>
  <si>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</si>
  <si>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</si>
  <si>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</si>
  <si>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</si>
  <si>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</si>
  <si>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</si>
  <si>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</si>
  <si>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</si>
  <si>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</si>
  <si>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</si>
  <si>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</si>
  <si>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</si>
  <si>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</si>
  <si>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</si>
  <si>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</si>
  <si>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</si>
  <si>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</si>
  <si>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</si>
  <si>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</si>
  <si>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</si>
  <si>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</si>
  <si>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</si>
  <si>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</si>
  <si>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</si>
  <si>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</si>
  <si>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</si>
  <si>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</si>
  <si>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</si>
  <si>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</si>
  <si>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</si>
  <si>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</si>
  <si>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</si>
  <si>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</si>
  <si>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</si>
  <si>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</si>
  <si>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</si>
  <si>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</si>
  <si>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</si>
  <si>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 PREMIUM TAX RATES FOR 2012</t>
  </si>
  <si>
    <t>State Tax</t>
  </si>
  <si>
    <t>Rates</t>
  </si>
  <si>
    <t xml:space="preserve">ALABAMA 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</si>
  <si>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</si>
  <si>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</si>
  <si>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</si>
  <si>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</si>
  <si>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</si>
  <si>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</si>
  <si>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</si>
  <si>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</si>
  <si>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</si>
  <si>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</si>
  <si>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</si>
  <si>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</si>
  <si>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</si>
  <si>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</si>
  <si>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</si>
  <si>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</si>
  <si>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</si>
  <si>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</si>
  <si>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</si>
  <si>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</si>
  <si>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</si>
  <si>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</si>
  <si>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</si>
  <si>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</si>
  <si>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</si>
  <si>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</si>
  <si>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</si>
  <si>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</si>
  <si>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</si>
  <si>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</si>
  <si>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</si>
  <si>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</si>
  <si>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</si>
  <si>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</si>
  <si>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</si>
  <si>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</si>
  <si>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</si>
  <si>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</si>
  <si>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</si>
  <si>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</si>
  <si>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</si>
  <si>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</si>
  <si>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</si>
  <si>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</si>
  <si>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</si>
  <si>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</si>
  <si>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</si>
  <si>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</si>
  <si>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</si>
  <si>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</si>
  <si>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Source:</t>
    </r>
    <r>
      <rPr>
        <sz val="10"/>
        <rFont val="Times New Roman"/>
        <family val="1"/>
      </rPr>
      <t xml:space="preserve">  Premium Pro State Rates Schedule and various state tax return</t>
    </r>
  </si>
  <si>
    <t>For purpose of retaliatory tax use TX 2002 Actual Tax Rate of 1.793%</t>
  </si>
  <si>
    <t>NTA - 1/1/2013</t>
  </si>
  <si>
    <t>Premiums</t>
  </si>
  <si>
    <t>Line of Business (Annual Statement Lines)</t>
  </si>
  <si>
    <t>STATE NATIONAL INSURANCE COMPANY</t>
  </si>
  <si>
    <t>Premium Written</t>
  </si>
  <si>
    <t>Total</t>
  </si>
  <si>
    <t>Reported by Sample Dec. 2012-Nov. 2013</t>
  </si>
  <si>
    <t>Unearned Premium</t>
  </si>
  <si>
    <t>Reported by Sample  @ 11/30/13</t>
  </si>
  <si>
    <t>TOTAL PER PASS</t>
  </si>
  <si>
    <t>DIFFERENCES</t>
  </si>
  <si>
    <t>RECONCILIATION</t>
  </si>
  <si>
    <t>12/2011 Accrual Reversal</t>
  </si>
  <si>
    <t>12/2012 Accrual</t>
  </si>
  <si>
    <t>Corrections</t>
  </si>
  <si>
    <t>Paid By Accident Year</t>
  </si>
  <si>
    <t>LOB</t>
  </si>
  <si>
    <t>Accident</t>
  </si>
  <si>
    <t>Losses</t>
  </si>
  <si>
    <t>ALAE</t>
  </si>
  <si>
    <t>Salvage/Subro</t>
  </si>
  <si>
    <t>Year</t>
  </si>
  <si>
    <t>Paid</t>
  </si>
  <si>
    <t>Received</t>
  </si>
  <si>
    <t>All Accident Years</t>
  </si>
  <si>
    <t>Total - Per program</t>
  </si>
  <si>
    <t>Total - Per PASS</t>
  </si>
  <si>
    <t>N/A</t>
  </si>
  <si>
    <t>Diffrences</t>
  </si>
  <si>
    <t>Reserves by Accident Year</t>
  </si>
  <si>
    <t>O/S Loss</t>
  </si>
  <si>
    <t>O/S ALAE</t>
  </si>
  <si>
    <t>O/S ULAE</t>
  </si>
  <si>
    <t>Reserve</t>
  </si>
  <si>
    <t>Reserve/Anticipated</t>
  </si>
  <si>
    <t>12/2011 Accrual</t>
  </si>
  <si>
    <t>Claim Count by Accident Year</t>
  </si>
  <si>
    <t>Outstanding / open claims</t>
  </si>
  <si>
    <t>Claims</t>
  </si>
  <si>
    <t>Closed</t>
  </si>
  <si>
    <t>(beg of period)</t>
  </si>
  <si>
    <t>reported</t>
  </si>
  <si>
    <t>With Pay</t>
  </si>
  <si>
    <t>Without Pay</t>
  </si>
  <si>
    <t>(end of period)</t>
  </si>
  <si>
    <t>at 11-30-2011</t>
  </si>
  <si>
    <t>at 11-30-2012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</si>
</sst>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%"/>
    <numFmt numFmtId="167" formatCode="0.0000%"/>
    <numFmt numFmtId="168" formatCode="[$-409]mmmm\-yy;@"/>
    <numFmt numFmtId="169" formatCode="_(* #,##0.0000_);_(* \(#,##0.0000\);_(* &quot;-&quot;????_);_(@_)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2"/>
      <color indexed="12"/>
      <name val="Times New Roman"/>
      <family val="1"/>
    </font>
    <font>
      <b/>
      <u/>
      <sz val="12"/>
      <name val="Arial"/>
      <family val="2"/>
    </font>
    <font>
      <sz val="8"/>
      <name val="Arial"/>
      <family val="2"/>
    </font>
    <font>
      <b/>
      <sz val="11"/>
      <name val="Times New Roman"/>
      <family val="1"/>
    </font>
    <font>
      <b/>
      <sz val="12"/>
      <color indexed="12"/>
      <name val="Times New Roman"/>
      <family val="1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4"/>
      <color indexed="10"/>
      <name val="BeachWide"/>
    </font>
    <font>
      <b/>
      <sz val="10"/>
      <name val="Arial"/>
      <family val="2"/>
    </font>
    <font>
      <sz val="9"/>
      <name val="Cambria"/>
      <family val="1"/>
    </font>
    <font>
      <sz val="9"/>
      <color indexed="12"/>
      <name val="Cambria"/>
      <family val="1"/>
    </font>
    <font>
      <b/>
      <u/>
      <sz val="9"/>
      <name val="Cambria"/>
      <family val="1"/>
    </font>
    <font>
      <b/>
      <sz val="9"/>
      <name val="Cambria"/>
      <family val="1"/>
    </font>
    <font>
      <b/>
      <sz val="9"/>
      <color indexed="12"/>
      <name val="Arial"/>
      <family val="2"/>
    </font>
    <font>
      <b/>
      <sz val="14"/>
      <name val="Arial"/>
      <family val="2"/>
    </font>
    <font>
      <b/>
      <sz val="10"/>
      <color indexed="12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b/>
      <u/>
      <sz val="10"/>
      <name val="Times New Roman"/>
      <family val="1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9"/>
      <name val="Arial"/>
      <family val="2"/>
    </font>
    <font>
      <b/>
      <sz val="10"/>
      <color indexed="40"/>
      <name val="Arial"/>
      <family val="2"/>
    </font>
    <font>
      <b/>
      <sz val="11"/>
      <color indexed="8"/>
      <name val="Calibri"/>
      <family val="2"/>
    </font>
    <font>
      <sz val="10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2"/>
      <color rgb="FF0000FF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0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0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30" fillId="0" borderId="0"/>
    <xf numFmtId="43" fontId="34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6">
    <xf numFmtId="0" fontId="0" fillId="0" borderId="0" xfId="0"/>
    <xf numFmtId="40" fontId="8" fillId="0" borderId="0" xfId="0" applyNumberFormat="1" applyFont="1" applyAlignment="1">
      <alignment horizontal="centerContinuous"/>
    </xf>
    <xf numFmtId="40" fontId="8" fillId="0" borderId="0" xfId="0" applyNumberFormat="1" applyFont="1"/>
    <xf numFmtId="40" fontId="10" fillId="0" borderId="0" xfId="0" applyNumberFormat="1" applyFont="1"/>
    <xf numFmtId="0" fontId="10" fillId="0" borderId="0" xfId="0" applyFont="1"/>
    <xf numFmtId="0" fontId="10" fillId="0" borderId="1" xfId="0" applyFont="1" applyBorder="1"/>
    <xf numFmtId="40" fontId="10" fillId="0" borderId="0" xfId="0" applyNumberFormat="1" applyFont="1" applyAlignment="1">
      <alignment horizontal="centerContinuous"/>
    </xf>
    <xf numFmtId="40" fontId="8" fillId="0" borderId="0" xfId="0" quotePrefix="1" applyNumberFormat="1" applyFont="1" applyAlignment="1">
      <alignment horizontal="centerContinuous"/>
    </xf>
    <xf numFmtId="40" fontId="8" fillId="0" borderId="0" xfId="0" quotePrefix="1" applyNumberFormat="1" applyFont="1" applyAlignment="1">
      <alignment horizontal="center"/>
    </xf>
    <xf numFmtId="40" fontId="8" fillId="0" borderId="0" xfId="0" applyNumberFormat="1" applyFont="1" applyAlignment="1">
      <alignment horizontal="center"/>
    </xf>
    <xf numFmtId="40" fontId="8" fillId="0" borderId="0" xfId="0" quotePrefix="1" applyNumberFormat="1" applyFont="1" applyAlignment="1">
      <alignment horizontal="left"/>
    </xf>
    <xf numFmtId="43" fontId="10" fillId="0" borderId="0" xfId="0" applyNumberFormat="1" applyFont="1"/>
    <xf numFmtId="40" fontId="10" fillId="0" borderId="3" xfId="0" applyNumberFormat="1" applyFont="1" applyBorder="1"/>
    <xf numFmtId="40" fontId="8" fillId="0" borderId="0" xfId="0" quotePrefix="1" applyNumberFormat="1" applyFont="1" applyAlignment="1">
      <alignment horizontal="right"/>
    </xf>
    <xf numFmtId="8" fontId="8" fillId="0" borderId="0" xfId="0" applyNumberFormat="1" applyFont="1"/>
    <xf numFmtId="8" fontId="8" fillId="0" borderId="4" xfId="0" applyNumberFormat="1" applyFont="1" applyBorder="1"/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43" fontId="10" fillId="0" borderId="0" xfId="1" applyFont="1"/>
    <xf numFmtId="0" fontId="11" fillId="0" borderId="0" xfId="0" applyFont="1"/>
    <xf numFmtId="40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/>
    <xf numFmtId="0" fontId="9" fillId="0" borderId="5" xfId="0" applyFont="1" applyBorder="1" applyAlignment="1">
      <alignment horizontal="left"/>
    </xf>
    <xf numFmtId="0" fontId="8" fillId="0" borderId="6" xfId="0" applyFont="1" applyBorder="1" applyAlignment="1">
      <alignment horizontal="centerContinuous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9" fillId="0" borderId="7" xfId="0" applyFont="1" applyBorder="1"/>
    <xf numFmtId="0" fontId="8" fillId="0" borderId="7" xfId="0" quotePrefix="1" applyFont="1" applyBorder="1" applyAlignment="1">
      <alignment horizontal="center"/>
    </xf>
    <xf numFmtId="0" fontId="10" fillId="0" borderId="7" xfId="0" applyFont="1" applyBorder="1"/>
    <xf numFmtId="0" fontId="10" fillId="0" borderId="9" xfId="0" applyFont="1" applyBorder="1"/>
    <xf numFmtId="0" fontId="8" fillId="0" borderId="9" xfId="0" applyFont="1" applyBorder="1" applyAlignment="1">
      <alignment horizontal="left"/>
    </xf>
    <xf numFmtId="43" fontId="8" fillId="0" borderId="9" xfId="1" applyFont="1" applyBorder="1"/>
    <xf numFmtId="0" fontId="8" fillId="0" borderId="9" xfId="0" quotePrefix="1" applyFont="1" applyBorder="1" applyAlignment="1">
      <alignment horizontal="left"/>
    </xf>
    <xf numFmtId="0" fontId="8" fillId="0" borderId="9" xfId="0" applyFont="1" applyBorder="1"/>
    <xf numFmtId="0" fontId="8" fillId="0" borderId="0" xfId="0" quotePrefix="1" applyFont="1" applyAlignment="1">
      <alignment horizontal="left"/>
    </xf>
    <xf numFmtId="0" fontId="9" fillId="0" borderId="5" xfId="0" applyFont="1" applyBorder="1"/>
    <xf numFmtId="0" fontId="8" fillId="0" borderId="7" xfId="0" applyFont="1" applyBorder="1" applyAlignment="1">
      <alignment horizontal="center"/>
    </xf>
    <xf numFmtId="40" fontId="9" fillId="0" borderId="0" xfId="0" applyNumberFormat="1" applyFont="1"/>
    <xf numFmtId="40" fontId="8" fillId="2" borderId="7" xfId="0" applyNumberFormat="1" applyFont="1" applyFill="1" applyBorder="1" applyAlignment="1">
      <alignment horizontal="left"/>
    </xf>
    <xf numFmtId="167" fontId="8" fillId="0" borderId="7" xfId="0" applyNumberFormat="1" applyFont="1" applyBorder="1" applyAlignment="1">
      <alignment horizontal="center"/>
    </xf>
    <xf numFmtId="40" fontId="8" fillId="0" borderId="0" xfId="0" applyNumberFormat="1" applyFont="1" applyAlignment="1">
      <alignment horizontal="right"/>
    </xf>
    <xf numFmtId="40" fontId="11" fillId="0" borderId="0" xfId="0" applyNumberFormat="1" applyFont="1" applyAlignment="1">
      <alignment horizontal="centerContinuous"/>
    </xf>
    <xf numFmtId="168" fontId="9" fillId="0" borderId="0" xfId="0" applyNumberFormat="1" applyFont="1"/>
    <xf numFmtId="40" fontId="0" fillId="0" borderId="0" xfId="0" quotePrefix="1" applyNumberFormat="1" applyAlignment="1">
      <alignment horizontal="left"/>
    </xf>
    <xf numFmtId="40" fontId="0" fillId="0" borderId="0" xfId="0" applyNumberFormat="1"/>
    <xf numFmtId="40" fontId="0" fillId="0" borderId="0" xfId="0" applyNumberFormat="1" applyAlignment="1">
      <alignment horizontal="left"/>
    </xf>
    <xf numFmtId="40" fontId="0" fillId="0" borderId="0" xfId="0" applyNumberFormat="1" applyAlignment="1">
      <alignment horizontal="center"/>
    </xf>
    <xf numFmtId="40" fontId="15" fillId="0" borderId="0" xfId="0" applyNumberFormat="1" applyFont="1" applyAlignment="1">
      <alignment horizontal="center"/>
    </xf>
    <xf numFmtId="0" fontId="7" fillId="0" borderId="0" xfId="0" applyFont="1"/>
    <xf numFmtId="43" fontId="10" fillId="0" borderId="0" xfId="1" applyFont="1" applyBorder="1"/>
    <xf numFmtId="43" fontId="10" fillId="0" borderId="3" xfId="1" applyFont="1" applyBorder="1"/>
    <xf numFmtId="43" fontId="8" fillId="0" borderId="0" xfId="1" applyFont="1"/>
    <xf numFmtId="40" fontId="8" fillId="0" borderId="0" xfId="0" quotePrefix="1" applyNumberFormat="1" applyFont="1"/>
    <xf numFmtId="0" fontId="8" fillId="0" borderId="10" xfId="0" applyFont="1" applyBorder="1" applyAlignment="1">
      <alignment horizontal="centerContinuous"/>
    </xf>
    <xf numFmtId="0" fontId="17" fillId="0" borderId="0" xfId="0" applyFont="1"/>
    <xf numFmtId="169" fontId="10" fillId="0" borderId="0" xfId="0" applyNumberFormat="1" applyFont="1"/>
    <xf numFmtId="40" fontId="18" fillId="0" borderId="0" xfId="0" applyNumberFormat="1" applyFont="1" applyAlignment="1">
      <alignment horizontal="center"/>
    </xf>
    <xf numFmtId="0" fontId="9" fillId="0" borderId="8" xfId="0" applyFont="1" applyBorder="1"/>
    <xf numFmtId="165" fontId="8" fillId="0" borderId="7" xfId="0" quotePrefix="1" applyNumberFormat="1" applyFont="1" applyBorder="1" applyAlignment="1">
      <alignment horizontal="center"/>
    </xf>
    <xf numFmtId="0" fontId="10" fillId="0" borderId="10" xfId="0" applyFont="1" applyBorder="1"/>
    <xf numFmtId="43" fontId="19" fillId="0" borderId="0" xfId="0" applyNumberFormat="1" applyFont="1"/>
    <xf numFmtId="0" fontId="19" fillId="0" borderId="0" xfId="0" applyFont="1" applyAlignment="1">
      <alignment horizontal="center"/>
    </xf>
    <xf numFmtId="17" fontId="10" fillId="0" borderId="0" xfId="0" applyNumberFormat="1" applyFont="1" applyAlignment="1">
      <alignment horizontal="right"/>
    </xf>
    <xf numFmtId="40" fontId="18" fillId="3" borderId="0" xfId="0" applyNumberFormat="1" applyFont="1" applyFill="1" applyAlignment="1">
      <alignment horizontal="center"/>
    </xf>
    <xf numFmtId="40" fontId="18" fillId="3" borderId="0" xfId="1" applyNumberFormat="1" applyFont="1" applyFill="1" applyAlignment="1"/>
    <xf numFmtId="40" fontId="8" fillId="0" borderId="0" xfId="0" applyNumberFormat="1" applyFont="1" applyAlignment="1">
      <alignment horizontal="left"/>
    </xf>
    <xf numFmtId="0" fontId="16" fillId="3" borderId="0" xfId="0" applyFont="1" applyFill="1" applyAlignment="1">
      <alignment horizontal="center"/>
    </xf>
    <xf numFmtId="0" fontId="12" fillId="0" borderId="0" xfId="0" applyFont="1" applyAlignment="1">
      <alignment horizontal="centerContinuous"/>
    </xf>
    <xf numFmtId="44" fontId="8" fillId="0" borderId="3" xfId="3" applyFont="1" applyFill="1" applyBorder="1"/>
    <xf numFmtId="9" fontId="18" fillId="3" borderId="0" xfId="8" applyFont="1" applyFill="1" applyAlignment="1"/>
    <xf numFmtId="10" fontId="18" fillId="3" borderId="0" xfId="8" applyNumberFormat="1" applyFont="1" applyFill="1" applyAlignment="1"/>
    <xf numFmtId="0" fontId="16" fillId="0" borderId="0" xfId="0" applyFont="1" applyAlignment="1">
      <alignment horizontal="center"/>
    </xf>
    <xf numFmtId="0" fontId="8" fillId="4" borderId="9" xfId="0" applyFont="1" applyFill="1" applyBorder="1" applyAlignment="1">
      <alignment horizontal="left"/>
    </xf>
    <xf numFmtId="166" fontId="18" fillId="3" borderId="0" xfId="8" applyNumberFormat="1" applyFont="1" applyFill="1" applyAlignment="1"/>
    <xf numFmtId="40" fontId="7" fillId="0" borderId="0" xfId="0" quotePrefix="1" applyNumberFormat="1" applyFont="1" applyAlignment="1">
      <alignment horizontal="left"/>
    </xf>
    <xf numFmtId="0" fontId="21" fillId="0" borderId="0" xfId="0" applyFont="1"/>
    <xf numFmtId="0" fontId="7" fillId="0" borderId="0" xfId="6"/>
    <xf numFmtId="0" fontId="25" fillId="0" borderId="0" xfId="6" applyFont="1"/>
    <xf numFmtId="0" fontId="22" fillId="0" borderId="0" xfId="6" applyFont="1" applyAlignment="1">
      <alignment horizontal="center"/>
    </xf>
    <xf numFmtId="0" fontId="23" fillId="0" borderId="0" xfId="6" quotePrefix="1" applyFont="1"/>
    <xf numFmtId="0" fontId="23" fillId="0" borderId="0" xfId="6" applyFont="1"/>
    <xf numFmtId="0" fontId="26" fillId="0" borderId="15" xfId="6" applyFont="1" applyBorder="1" applyAlignment="1">
      <alignment horizontal="center"/>
    </xf>
    <xf numFmtId="0" fontId="26" fillId="0" borderId="16" xfId="6" applyFont="1" applyBorder="1" applyAlignment="1">
      <alignment horizontal="center"/>
    </xf>
    <xf numFmtId="0" fontId="26" fillId="0" borderId="0" xfId="6" applyFont="1" applyAlignment="1">
      <alignment horizontal="center"/>
    </xf>
    <xf numFmtId="0" fontId="22" fillId="0" borderId="0" xfId="6" applyFont="1"/>
    <xf numFmtId="40" fontId="22" fillId="0" borderId="0" xfId="6" applyNumberFormat="1" applyFont="1" applyAlignment="1">
      <alignment horizontal="center"/>
    </xf>
    <xf numFmtId="0" fontId="22" fillId="0" borderId="0" xfId="6" quotePrefix="1" applyFont="1" applyAlignment="1">
      <alignment horizontal="center"/>
    </xf>
    <xf numFmtId="167" fontId="8" fillId="0" borderId="0" xfId="11" quotePrefix="1" applyFont="1" applyAlignment="1">
      <alignment horizontal="left"/>
    </xf>
    <xf numFmtId="0" fontId="30" fillId="0" borderId="0" xfId="0" applyFont="1"/>
    <xf numFmtId="167" fontId="30" fillId="0" borderId="0" xfId="11"/>
    <xf numFmtId="167" fontId="31" fillId="0" borderId="0" xfId="11" applyFont="1" applyAlignment="1">
      <alignment horizontal="center"/>
    </xf>
    <xf numFmtId="167" fontId="31" fillId="0" borderId="2" xfId="11" quotePrefix="1" applyFont="1" applyBorder="1" applyAlignment="1">
      <alignment horizontal="center"/>
    </xf>
    <xf numFmtId="167" fontId="31" fillId="0" borderId="2" xfId="11" applyFont="1" applyBorder="1" applyAlignment="1">
      <alignment horizontal="center"/>
    </xf>
    <xf numFmtId="167" fontId="31" fillId="0" borderId="0" xfId="11" quotePrefix="1" applyFont="1" applyAlignment="1">
      <alignment horizontal="left"/>
    </xf>
    <xf numFmtId="167" fontId="31" fillId="0" borderId="0" xfId="11" applyFont="1" applyAlignment="1">
      <alignment horizontal="left"/>
    </xf>
    <xf numFmtId="167" fontId="32" fillId="0" borderId="0" xfId="11" applyFont="1"/>
    <xf numFmtId="167" fontId="33" fillId="0" borderId="0" xfId="11" applyFont="1"/>
    <xf numFmtId="0" fontId="19" fillId="0" borderId="0" xfId="0" applyFont="1"/>
    <xf numFmtId="43" fontId="8" fillId="0" borderId="9" xfId="1" applyFont="1" applyBorder="1" applyAlignment="1"/>
    <xf numFmtId="43" fontId="8" fillId="5" borderId="9" xfId="1" applyFont="1" applyFill="1" applyBorder="1" applyAlignment="1"/>
    <xf numFmtId="0" fontId="27" fillId="6" borderId="0" xfId="6" applyFont="1" applyFill="1" applyAlignment="1">
      <alignment horizontal="center"/>
    </xf>
    <xf numFmtId="0" fontId="27" fillId="0" borderId="0" xfId="6" applyFont="1" applyAlignment="1">
      <alignment horizontal="center"/>
    </xf>
    <xf numFmtId="43" fontId="24" fillId="6" borderId="12" xfId="12" applyFont="1" applyFill="1" applyBorder="1"/>
    <xf numFmtId="43" fontId="23" fillId="0" borderId="12" xfId="12" applyFont="1" applyFill="1" applyBorder="1"/>
    <xf numFmtId="43" fontId="23" fillId="0" borderId="0" xfId="12" applyFont="1"/>
    <xf numFmtId="0" fontId="26" fillId="7" borderId="0" xfId="6" applyFont="1" applyFill="1" applyAlignment="1">
      <alignment horizontal="center"/>
    </xf>
    <xf numFmtId="43" fontId="23" fillId="7" borderId="12" xfId="12" applyFont="1" applyFill="1" applyBorder="1"/>
    <xf numFmtId="43" fontId="23" fillId="7" borderId="0" xfId="12" applyFont="1" applyFill="1"/>
    <xf numFmtId="43" fontId="23" fillId="0" borderId="0" xfId="12" applyFont="1" applyFill="1"/>
    <xf numFmtId="0" fontId="22" fillId="8" borderId="0" xfId="6" applyFont="1" applyFill="1" applyAlignment="1">
      <alignment horizontal="centerContinuous"/>
    </xf>
    <xf numFmtId="0" fontId="7" fillId="8" borderId="0" xfId="6" applyFill="1" applyAlignment="1">
      <alignment horizontal="centerContinuous"/>
    </xf>
    <xf numFmtId="43" fontId="24" fillId="6" borderId="0" xfId="12" applyFont="1" applyFill="1"/>
    <xf numFmtId="43" fontId="22" fillId="0" borderId="0" xfId="6" applyNumberFormat="1" applyFont="1"/>
    <xf numFmtId="0" fontId="29" fillId="6" borderId="0" xfId="6" applyFont="1" applyFill="1" applyAlignment="1">
      <alignment horizontal="center"/>
    </xf>
    <xf numFmtId="0" fontId="22" fillId="7" borderId="0" xfId="6" applyFont="1" applyFill="1" applyAlignment="1">
      <alignment horizontal="center"/>
    </xf>
    <xf numFmtId="43" fontId="29" fillId="6" borderId="0" xfId="12" applyFont="1" applyFill="1" applyAlignment="1">
      <alignment horizontal="center"/>
    </xf>
    <xf numFmtId="43" fontId="22" fillId="0" borderId="0" xfId="12" applyFont="1" applyAlignment="1">
      <alignment horizontal="center"/>
    </xf>
    <xf numFmtId="0" fontId="7" fillId="9" borderId="0" xfId="6" applyFill="1"/>
    <xf numFmtId="0" fontId="22" fillId="9" borderId="0" xfId="6" applyFont="1" applyFill="1" applyAlignment="1">
      <alignment horizontal="center"/>
    </xf>
    <xf numFmtId="40" fontId="22" fillId="9" borderId="0" xfId="6" applyNumberFormat="1" applyFont="1" applyFill="1" applyAlignment="1">
      <alignment horizontal="center"/>
    </xf>
    <xf numFmtId="43" fontId="22" fillId="9" borderId="0" xfId="12" applyFont="1" applyFill="1" applyAlignment="1">
      <alignment horizontal="center"/>
    </xf>
    <xf numFmtId="43" fontId="22" fillId="0" borderId="0" xfId="12" applyFont="1" applyFill="1" applyAlignment="1">
      <alignment horizontal="center"/>
    </xf>
    <xf numFmtId="0" fontId="7" fillId="7" borderId="0" xfId="6" applyFill="1"/>
    <xf numFmtId="43" fontId="22" fillId="7" borderId="0" xfId="12" applyFont="1" applyFill="1" applyAlignment="1">
      <alignment horizontal="center"/>
    </xf>
    <xf numFmtId="0" fontId="28" fillId="8" borderId="0" xfId="6" applyFont="1" applyFill="1" applyAlignment="1">
      <alignment horizontal="centerContinuous"/>
    </xf>
    <xf numFmtId="0" fontId="22" fillId="10" borderId="0" xfId="6" applyFont="1" applyFill="1"/>
    <xf numFmtId="0" fontId="22" fillId="10" borderId="0" xfId="6" applyFont="1" applyFill="1" applyAlignment="1">
      <alignment horizontal="center"/>
    </xf>
    <xf numFmtId="0" fontId="7" fillId="10" borderId="0" xfId="6" applyFill="1"/>
    <xf numFmtId="43" fontId="22" fillId="10" borderId="0" xfId="12" applyFont="1" applyFill="1" applyAlignment="1">
      <alignment horizontal="center"/>
    </xf>
    <xf numFmtId="164" fontId="29" fillId="6" borderId="0" xfId="12" applyNumberFormat="1" applyFont="1" applyFill="1" applyAlignment="1">
      <alignment horizontal="center"/>
    </xf>
    <xf numFmtId="164" fontId="22" fillId="0" borderId="0" xfId="12" applyNumberFormat="1" applyFont="1" applyAlignment="1">
      <alignment horizontal="center"/>
    </xf>
    <xf numFmtId="164" fontId="22" fillId="9" borderId="0" xfId="12" applyNumberFormat="1" applyFont="1" applyFill="1" applyAlignment="1">
      <alignment horizontal="center"/>
    </xf>
    <xf numFmtId="0" fontId="29" fillId="0" borderId="0" xfId="6" applyFont="1" applyAlignment="1">
      <alignment horizontal="center"/>
    </xf>
    <xf numFmtId="0" fontId="9" fillId="0" borderId="0" xfId="6" applyFont="1"/>
    <xf numFmtId="0" fontId="36" fillId="0" borderId="0" xfId="6" applyFont="1"/>
    <xf numFmtId="0" fontId="37" fillId="0" borderId="0" xfId="6" applyFont="1"/>
    <xf numFmtId="49" fontId="9" fillId="0" borderId="0" xfId="6" applyNumberFormat="1" applyFont="1" applyAlignment="1">
      <alignment horizontal="center"/>
    </xf>
    <xf numFmtId="0" fontId="38" fillId="0" borderId="0" xfId="6" applyFont="1" applyAlignment="1">
      <alignment horizontal="center"/>
    </xf>
    <xf numFmtId="43" fontId="39" fillId="6" borderId="0" xfId="1" applyFont="1" applyFill="1"/>
    <xf numFmtId="38" fontId="7" fillId="0" borderId="23" xfId="6" applyNumberFormat="1" applyBorder="1"/>
    <xf numFmtId="0" fontId="40" fillId="0" borderId="2" xfId="0" applyFont="1" applyBorder="1" applyAlignment="1">
      <alignment horizontal="center"/>
    </xf>
    <xf numFmtId="0" fontId="41" fillId="0" borderId="0" xfId="0" applyFont="1"/>
    <xf numFmtId="0" fontId="42" fillId="0" borderId="0" xfId="0" applyFont="1" applyAlignment="1">
      <alignment wrapText="1"/>
    </xf>
    <xf numFmtId="0" fontId="41" fillId="0" borderId="0" xfId="0" applyFont="1" applyAlignment="1">
      <alignment wrapText="1"/>
    </xf>
    <xf numFmtId="0" fontId="40" fillId="0" borderId="0" xfId="0" applyFont="1" applyAlignment="1">
      <alignment wrapText="1"/>
    </xf>
    <xf numFmtId="0" fontId="43" fillId="0" borderId="0" xfId="0" applyFont="1"/>
    <xf numFmtId="0" fontId="41" fillId="0" borderId="0" xfId="6" applyFont="1" applyAlignment="1">
      <alignment wrapText="1"/>
    </xf>
    <xf numFmtId="0" fontId="35" fillId="0" borderId="0" xfId="6" applyFont="1" applyAlignment="1">
      <alignment horizontal="center" wrapText="1"/>
    </xf>
    <xf numFmtId="0" fontId="8" fillId="0" borderId="0" xfId="0" quotePrefix="1" applyFont="1"/>
    <xf numFmtId="40" fontId="7" fillId="0" borderId="0" xfId="0" applyNumberFormat="1" applyFont="1" applyAlignment="1">
      <alignment horizontal="center"/>
    </xf>
    <xf numFmtId="40" fontId="7" fillId="0" borderId="0" xfId="6" quotePrefix="1" applyNumberFormat="1" applyAlignment="1">
      <alignment horizontal="left"/>
    </xf>
    <xf numFmtId="40" fontId="8" fillId="11" borderId="0" xfId="0" applyNumberFormat="1" applyFont="1" applyFill="1"/>
    <xf numFmtId="14" fontId="10" fillId="11" borderId="0" xfId="0" applyNumberFormat="1" applyFont="1" applyFill="1" applyAlignment="1">
      <alignment horizontal="left"/>
    </xf>
    <xf numFmtId="43" fontId="39" fillId="11" borderId="0" xfId="1" applyFont="1" applyFill="1"/>
    <xf numFmtId="10" fontId="8" fillId="0" borderId="2" xfId="0" quotePrefix="1" applyNumberFormat="1" applyFont="1" applyBorder="1" applyAlignment="1">
      <alignment horizontal="center"/>
    </xf>
    <xf numFmtId="10" fontId="8" fillId="0" borderId="2" xfId="8" quotePrefix="1" applyNumberFormat="1" applyFont="1" applyBorder="1" applyAlignment="1">
      <alignment horizontal="center"/>
    </xf>
    <xf numFmtId="8" fontId="10" fillId="0" borderId="0" xfId="0" applyNumberFormat="1" applyFont="1"/>
    <xf numFmtId="40" fontId="8" fillId="0" borderId="0" xfId="6" quotePrefix="1" applyNumberFormat="1" applyFont="1" applyAlignment="1">
      <alignment horizontal="center"/>
    </xf>
    <xf numFmtId="2" fontId="10" fillId="0" borderId="0" xfId="0" applyNumberFormat="1" applyFont="1"/>
    <xf numFmtId="43" fontId="10" fillId="12" borderId="0" xfId="1" applyFont="1" applyFill="1" applyBorder="1"/>
    <xf numFmtId="40" fontId="10" fillId="13" borderId="0" xfId="0" applyNumberFormat="1" applyFont="1" applyFill="1"/>
    <xf numFmtId="43" fontId="8" fillId="14" borderId="4" xfId="0" applyNumberFormat="1" applyFont="1" applyFill="1" applyBorder="1"/>
    <xf numFmtId="165" fontId="7" fillId="0" borderId="0" xfId="6" applyNumberFormat="1"/>
    <xf numFmtId="165" fontId="29" fillId="0" borderId="0" xfId="6" applyNumberFormat="1" applyFont="1" applyAlignment="1">
      <alignment horizontal="center"/>
    </xf>
    <xf numFmtId="165" fontId="35" fillId="0" borderId="0" xfId="6" applyNumberFormat="1" applyFont="1" applyAlignment="1">
      <alignment horizontal="center" wrapText="1"/>
    </xf>
    <xf numFmtId="165" fontId="38" fillId="0" borderId="0" xfId="6" applyNumberFormat="1" applyFont="1" applyAlignment="1">
      <alignment horizontal="center"/>
    </xf>
    <xf numFmtId="165" fontId="7" fillId="0" borderId="23" xfId="6" applyNumberFormat="1" applyBorder="1"/>
    <xf numFmtId="0" fontId="39" fillId="6" borderId="0" xfId="1" applyNumberFormat="1" applyFont="1" applyFill="1"/>
    <xf numFmtId="0" fontId="39" fillId="11" borderId="0" xfId="1" applyNumberFormat="1" applyFont="1" applyFill="1"/>
    <xf numFmtId="168" fontId="16" fillId="11" borderId="0" xfId="0" applyNumberFormat="1" applyFont="1" applyFill="1" applyAlignment="1">
      <alignment horizontal="center"/>
    </xf>
    <xf numFmtId="43" fontId="8" fillId="0" borderId="4" xfId="0" applyNumberFormat="1" applyFont="1" applyBorder="1"/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centerContinuous"/>
    </xf>
    <xf numFmtId="0" fontId="8" fillId="0" borderId="9" xfId="0" applyFont="1" applyBorder="1" applyAlignment="1">
      <alignment horizontal="center"/>
    </xf>
    <xf numFmtId="164" fontId="16" fillId="3" borderId="9" xfId="1" applyNumberFormat="1" applyFont="1" applyFill="1" applyBorder="1" applyAlignment="1"/>
    <xf numFmtId="0" fontId="8" fillId="0" borderId="11" xfId="0" applyFont="1" applyBorder="1" applyAlignment="1">
      <alignment horizontal="centerContinuous"/>
    </xf>
    <xf numFmtId="0" fontId="8" fillId="0" borderId="8" xfId="0" applyFont="1" applyBorder="1" applyAlignment="1">
      <alignment horizontal="centerContinuous"/>
    </xf>
    <xf numFmtId="0" fontId="16" fillId="0" borderId="7" xfId="0" applyFont="1" applyBorder="1" applyAlignment="1">
      <alignment horizontal="center"/>
    </xf>
    <xf numFmtId="43" fontId="16" fillId="3" borderId="9" xfId="1" applyFont="1" applyFill="1" applyBorder="1" applyAlignment="1"/>
    <xf numFmtId="8" fontId="16" fillId="3" borderId="9" xfId="1" applyNumberFormat="1" applyFont="1" applyFill="1" applyBorder="1" applyAlignment="1"/>
    <xf numFmtId="44" fontId="16" fillId="3" borderId="9" xfId="1" applyNumberFormat="1" applyFont="1" applyFill="1" applyBorder="1" applyAlignment="1"/>
    <xf numFmtId="43" fontId="16" fillId="3" borderId="9" xfId="1" quotePrefix="1" applyFont="1" applyFill="1" applyBorder="1" applyAlignment="1"/>
    <xf numFmtId="0" fontId="9" fillId="0" borderId="0" xfId="0" applyFont="1" applyAlignment="1">
      <alignment horizontal="center"/>
    </xf>
    <xf numFmtId="0" fontId="35" fillId="0" borderId="17" xfId="6" applyFont="1" applyBorder="1" applyAlignment="1">
      <alignment horizontal="center" wrapText="1"/>
    </xf>
    <xf numFmtId="0" fontId="35" fillId="0" borderId="3" xfId="6" applyFont="1" applyBorder="1" applyAlignment="1">
      <alignment horizontal="center" wrapText="1"/>
    </xf>
    <xf numFmtId="0" fontId="35" fillId="0" borderId="18" xfId="6" applyFont="1" applyBorder="1" applyAlignment="1">
      <alignment horizontal="center" wrapText="1"/>
    </xf>
    <xf numFmtId="0" fontId="35" fillId="0" borderId="19" xfId="6" applyFont="1" applyBorder="1" applyAlignment="1">
      <alignment horizontal="center" wrapText="1"/>
    </xf>
    <xf numFmtId="0" fontId="35" fillId="0" borderId="0" xfId="6" applyFont="1" applyAlignment="1">
      <alignment horizontal="center" wrapText="1"/>
    </xf>
    <xf numFmtId="0" fontId="35" fillId="0" borderId="20" xfId="6" applyFont="1" applyBorder="1" applyAlignment="1">
      <alignment horizontal="center" wrapText="1"/>
    </xf>
    <xf numFmtId="0" fontId="35" fillId="0" borderId="21" xfId="6" applyFont="1" applyBorder="1" applyAlignment="1">
      <alignment horizontal="center" wrapText="1"/>
    </xf>
    <xf numFmtId="0" fontId="35" fillId="0" borderId="2" xfId="6" applyFont="1" applyBorder="1" applyAlignment="1">
      <alignment horizontal="center" wrapText="1"/>
    </xf>
    <xf numFmtId="0" fontId="35" fillId="0" borderId="22" xfId="6" applyFont="1" applyBorder="1" applyAlignment="1">
      <alignment horizontal="center" wrapText="1"/>
    </xf>
    <xf numFmtId="0" fontId="26" fillId="0" borderId="14" xfId="6" applyFont="1" applyBorder="1" applyAlignment="1">
      <alignment horizontal="center"/>
    </xf>
    <xf numFmtId="0" fontId="26" fillId="0" borderId="13" xfId="6" applyFont="1" applyBorder="1" applyAlignment="1">
      <alignment horizontal="center"/>
    </xf>
  </cellXfs>
  <cellStyles count="30">
    <cellStyle name="Comma" xfId="1" builtinId="3"/>
    <cellStyle name="Comma 2" xfId="2" xr:uid="{00000000-0005-0000-0000-000001000000}"/>
    <cellStyle name="Comma 3" xfId="10" xr:uid="{00000000-0005-0000-0000-000002000000}"/>
    <cellStyle name="Comma 3 2" xfId="15" xr:uid="{00000000-0005-0000-0000-000003000000}"/>
    <cellStyle name="Comma 3 2 2" xfId="20" xr:uid="{00000000-0005-0000-0000-000004000000}"/>
    <cellStyle name="Comma 3 2 2 2" xfId="29" xr:uid="{00000000-0005-0000-0000-000005000000}"/>
    <cellStyle name="Comma 3 2 3" xfId="24" xr:uid="{00000000-0005-0000-0000-000006000000}"/>
    <cellStyle name="Comma 3 3" xfId="16" xr:uid="{00000000-0005-0000-0000-000007000000}"/>
    <cellStyle name="Comma 3 3 2" xfId="25" xr:uid="{00000000-0005-0000-0000-000008000000}"/>
    <cellStyle name="Comma 3 4" xfId="17" xr:uid="{00000000-0005-0000-0000-000009000000}"/>
    <cellStyle name="Comma 3 4 2" xfId="26" xr:uid="{00000000-0005-0000-0000-00000A000000}"/>
    <cellStyle name="Comma 3 5" xfId="21" xr:uid="{00000000-0005-0000-0000-00000B000000}"/>
    <cellStyle name="Comma 4" xfId="12" xr:uid="{00000000-0005-0000-0000-00000C000000}"/>
    <cellStyle name="Comma 5" xfId="14" xr:uid="{00000000-0005-0000-0000-00000D000000}"/>
    <cellStyle name="Comma 5 2" xfId="19" xr:uid="{00000000-0005-0000-0000-00000E000000}"/>
    <cellStyle name="Comma 5 2 2" xfId="28" xr:uid="{00000000-0005-0000-0000-00000F000000}"/>
    <cellStyle name="Comma 5 3" xfId="23" xr:uid="{00000000-0005-0000-0000-000010000000}"/>
    <cellStyle name="Currency" xfId="3" builtinId="4"/>
    <cellStyle name="Currency 2" xfId="4" xr:uid="{00000000-0005-0000-0000-000012000000}"/>
    <cellStyle name="Normal" xfId="0" builtinId="0"/>
    <cellStyle name="Normal 2" xfId="5" xr:uid="{00000000-0005-0000-0000-000014000000}"/>
    <cellStyle name="Normal 2 2" xfId="6" xr:uid="{00000000-0005-0000-0000-000015000000}"/>
    <cellStyle name="Normal 3" xfId="7" xr:uid="{00000000-0005-0000-0000-000016000000}"/>
    <cellStyle name="Normal 4" xfId="13" xr:uid="{00000000-0005-0000-0000-000017000000}"/>
    <cellStyle name="Normal 4 2" xfId="18" xr:uid="{00000000-0005-0000-0000-000018000000}"/>
    <cellStyle name="Normal 4 2 2" xfId="27" xr:uid="{00000000-0005-0000-0000-000019000000}"/>
    <cellStyle name="Normal 4 3" xfId="22" xr:uid="{00000000-0005-0000-0000-00001A000000}"/>
    <cellStyle name="Normal_2003 Tax Rates" xfId="11" xr:uid="{00000000-0005-0000-0000-00001B000000}"/>
    <cellStyle name="Percent" xfId="8" builtinId="5"/>
    <cellStyle name="Percent 2" xfId="9" xr:uid="{00000000-0005-0000-0000-00001D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618834</xdr:colOff>
      <xdr:row>7</xdr:row>
      <xdr:rowOff>539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787234" y="101653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34634</xdr:colOff>
      <xdr:row>0</xdr:row>
      <xdr:rowOff>64039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4060534" y="6403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G%20REPORT\00.%20Feb%20Exhibits\AL%20Feb\MGM%20SNIC%20Treaty%2010=02-2025.xlsb" TargetMode="External"/><Relationship Id="rId1" Type="http://schemas.openxmlformats.org/officeDocument/2006/relationships/externalLinkPath" Target="file:///D:\RG%20REPORT\00.%20Feb%20Exhibits\AL%20Feb\MGM%20SNIC%20Treaty%2010=02-20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tUp &amp; Macro"/>
      <sheetName val="Instructions"/>
      <sheetName val="Expenses Def."/>
      <sheetName val="Cash Settlement"/>
      <sheetName val="MTHLY-TOTAL"/>
      <sheetName val="MTHLY-AL"/>
      <sheetName val="MTHLY-AK"/>
      <sheetName val="MTHLY-AR"/>
      <sheetName val="MTHLY-AZ"/>
      <sheetName val="MTHLY-CA"/>
      <sheetName val="MTHLY-CO"/>
      <sheetName val="MTHLY-CT"/>
      <sheetName val="MTHLY-DE"/>
      <sheetName val="MTHLY-DC"/>
      <sheetName val="MTHLY-FL"/>
      <sheetName val="MTHLY-GA"/>
      <sheetName val="MTHLY-HI"/>
      <sheetName val="MTHLY-IA"/>
      <sheetName val="MTHLY-IL"/>
      <sheetName val="MTHLY-ID"/>
      <sheetName val="MTHLY-IN"/>
      <sheetName val="MTHLY-KS"/>
      <sheetName val="MTHLY-KY"/>
      <sheetName val="MTHLY-LA"/>
      <sheetName val="MTHLY-MA"/>
      <sheetName val="MTHLY-MD"/>
      <sheetName val="MTHLY-ME"/>
      <sheetName val="MTHLY-MI"/>
      <sheetName val="MTHLY-MN"/>
      <sheetName val="MTHLY-MO"/>
      <sheetName val="MTHLY-MS"/>
      <sheetName val="MTHLY-MT"/>
      <sheetName val="MTHLY-NC"/>
      <sheetName val="MTHLY-ND"/>
      <sheetName val="MTHLY-NH"/>
      <sheetName val="MTHLY-NJ"/>
      <sheetName val="MTHLY-NM"/>
      <sheetName val="MTHLY-NE"/>
      <sheetName val="MTHLY-NV"/>
      <sheetName val="MTHLY-NY"/>
      <sheetName val="MTHLY-OH"/>
      <sheetName val="MTHLY-OK"/>
      <sheetName val="MTHLY-OR"/>
      <sheetName val="MTHLY-PA"/>
      <sheetName val="MTHLY-RI"/>
      <sheetName val="MTHLY-SC"/>
      <sheetName val="MTHLY-SD"/>
      <sheetName val="MTHLY-TN"/>
      <sheetName val="MTHLY-TX"/>
      <sheetName val="MTHLY-UT"/>
      <sheetName val="MTHLY-VT"/>
      <sheetName val="MTHLY-VA"/>
      <sheetName val="MTHLY-WA"/>
      <sheetName val="MTHLY-WI"/>
      <sheetName val="MTHLY-WV"/>
      <sheetName val="MTHLY-WY"/>
      <sheetName val="Policies In force"/>
      <sheetName val="From Reinsurance Report"/>
      <sheetName val="From Monthly Reporting"/>
      <sheetName val="Premiums"/>
      <sheetName val="Paids --yr end"/>
      <sheetName val="Reserves --yr end"/>
      <sheetName val="Claim Count Format--yr 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2"/>
  <sheetViews>
    <sheetView topLeftCell="A21" zoomScaleNormal="100" workbookViewId="0">
      <selection activeCell="A26" sqref="A25:A26"/>
    </sheetView>
  </sheetViews>
  <sheetFormatPr defaultColWidth="9.140625" defaultRowHeight="14.25"/>
  <cols>
    <col min="1" max="1" width="84.7109375" style="145" customWidth="1"/>
    <col min="2" max="16384" width="9.140625" style="143"/>
  </cols>
  <sheetData>
    <row r="2" spans="1:2" ht="15">
      <c r="A2" s="142" t="s">
        <v>0</v>
      </c>
    </row>
    <row r="4" spans="1:2">
      <c r="A4" s="144" t="s">
        <v>1</v>
      </c>
    </row>
    <row r="6" spans="1:2" ht="28.5">
      <c r="A6" s="145" t="s">
        <v>2</v>
      </c>
    </row>
    <row r="8" spans="1:2" ht="28.5">
      <c r="A8" s="145" t="s">
        <v>3</v>
      </c>
    </row>
    <row r="10" spans="1:2" ht="28.5">
      <c r="A10" s="145" t="s">
        <v>4</v>
      </c>
    </row>
    <row r="13" spans="1:2" ht="15">
      <c r="A13" s="142" t="s">
        <v>5</v>
      </c>
    </row>
    <row r="14" spans="1:2" ht="15">
      <c r="A14" s="146"/>
    </row>
    <row r="15" spans="1:2">
      <c r="A15" s="144" t="s">
        <v>6</v>
      </c>
      <c r="B15" s="147"/>
    </row>
    <row r="17" spans="1:1">
      <c r="A17" s="148" t="s">
        <v>7</v>
      </c>
    </row>
    <row r="18" spans="1:1">
      <c r="A18" s="148"/>
    </row>
    <row r="19" spans="1:1" ht="28.5">
      <c r="A19" s="148" t="s">
        <v>8</v>
      </c>
    </row>
    <row r="20" spans="1:1">
      <c r="A20" s="148"/>
    </row>
    <row r="21" spans="1:1" ht="42.75">
      <c r="A21" s="148" t="s">
        <v>9</v>
      </c>
    </row>
    <row r="22" spans="1:1">
      <c r="A22" s="148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B46"/>
  <sheetViews>
    <sheetView workbookViewId="0"/>
  </sheetViews>
  <sheetFormatPr defaultRowHeight="12.75"/>
  <cols>
    <col min="11" max="11" width="12.85546875" customWidth="1"/>
  </cols>
  <sheetData>
    <row r="2" spans="1:2">
      <c r="A2" t="s">
        <v>10</v>
      </c>
    </row>
    <row r="4" spans="1:2" ht="18">
      <c r="B4" s="77" t="s">
        <v>11</v>
      </c>
    </row>
    <row r="8" spans="1:2">
      <c r="A8" t="s">
        <v>12</v>
      </c>
    </row>
    <row r="9" spans="1:2">
      <c r="A9" t="s">
        <v>13</v>
      </c>
    </row>
    <row r="10" spans="1:2">
      <c r="A10" t="s">
        <v>14</v>
      </c>
    </row>
    <row r="11" spans="1:2">
      <c r="A11" t="s">
        <v>15</v>
      </c>
    </row>
    <row r="12" spans="1:2">
      <c r="A12" t="s">
        <v>16</v>
      </c>
    </row>
    <row r="13" spans="1:2">
      <c r="A13" t="s">
        <v>17</v>
      </c>
    </row>
    <row r="14" spans="1:2">
      <c r="A14" t="s">
        <v>18</v>
      </c>
    </row>
    <row r="17" spans="1:2">
      <c r="A17" t="s">
        <v>19</v>
      </c>
    </row>
    <row r="18" spans="1:2">
      <c r="A18" t="s">
        <v>20</v>
      </c>
    </row>
    <row r="19" spans="1:2">
      <c r="A19" t="s">
        <v>21</v>
      </c>
    </row>
    <row r="20" spans="1:2">
      <c r="A20" t="s">
        <v>22</v>
      </c>
    </row>
    <row r="22" spans="1:2">
      <c r="A22">
        <v>1</v>
      </c>
      <c r="B22" t="s">
        <v>23</v>
      </c>
    </row>
    <row r="23" spans="1:2">
      <c r="A23">
        <v>2</v>
      </c>
      <c r="B23" t="s">
        <v>24</v>
      </c>
    </row>
    <row r="24" spans="1:2">
      <c r="A24">
        <v>3</v>
      </c>
      <c r="B24" t="s">
        <v>25</v>
      </c>
    </row>
    <row r="25" spans="1:2">
      <c r="A25">
        <v>4</v>
      </c>
      <c r="B25" t="s">
        <v>26</v>
      </c>
    </row>
    <row r="26" spans="1:2">
      <c r="A26">
        <v>5</v>
      </c>
      <c r="B26" t="s">
        <v>27</v>
      </c>
    </row>
    <row r="27" spans="1:2">
      <c r="B27" t="s">
        <v>28</v>
      </c>
    </row>
    <row r="28" spans="1:2">
      <c r="A28">
        <v>6</v>
      </c>
      <c r="B28" t="s">
        <v>29</v>
      </c>
    </row>
    <row r="29" spans="1:2">
      <c r="A29">
        <v>7</v>
      </c>
      <c r="B29" t="s">
        <v>30</v>
      </c>
    </row>
    <row r="31" spans="1:2">
      <c r="A31" t="s">
        <v>31</v>
      </c>
    </row>
    <row r="32" spans="1:2">
      <c r="A32" t="s">
        <v>32</v>
      </c>
    </row>
    <row r="34" spans="1:2">
      <c r="A34">
        <v>1</v>
      </c>
      <c r="B34" t="s">
        <v>33</v>
      </c>
    </row>
    <row r="35" spans="1:2">
      <c r="A35">
        <v>2</v>
      </c>
      <c r="B35" t="s">
        <v>34</v>
      </c>
    </row>
    <row r="36" spans="1:2">
      <c r="A36">
        <v>3</v>
      </c>
      <c r="B36" t="s">
        <v>35</v>
      </c>
    </row>
    <row r="37" spans="1:2">
      <c r="A37">
        <v>4</v>
      </c>
      <c r="B37" t="s">
        <v>36</v>
      </c>
    </row>
    <row r="38" spans="1:2">
      <c r="B38" t="s">
        <v>37</v>
      </c>
    </row>
    <row r="41" spans="1:2">
      <c r="A41" t="s">
        <v>38</v>
      </c>
    </row>
    <row r="42" spans="1:2">
      <c r="A42" t="s">
        <v>39</v>
      </c>
    </row>
    <row r="44" spans="1:2">
      <c r="A44" t="s">
        <v>40</v>
      </c>
    </row>
    <row r="45" spans="1:2">
      <c r="A45" t="s">
        <v>41</v>
      </c>
    </row>
    <row r="46" spans="1:2">
      <c r="A46" t="s">
        <v>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P62"/>
  <sheetViews>
    <sheetView tabSelected="1" topLeftCell="A11" zoomScale="80" zoomScaleNormal="80" workbookViewId="0">
      <selection activeCell="C16" sqref="C16"/>
    </sheetView>
  </sheetViews>
  <sheetFormatPr defaultColWidth="9.140625" defaultRowHeight="15"/>
  <cols>
    <col min="1" max="1" width="17.42578125" style="4" customWidth="1"/>
    <col min="2" max="2" width="60.28515625" style="4" customWidth="1"/>
    <col min="3" max="3" width="19.140625" style="4" customWidth="1"/>
    <col min="4" max="4" width="16.28515625" style="4" bestFit="1" customWidth="1"/>
    <col min="5" max="5" width="16.42578125" style="4" customWidth="1"/>
    <col min="6" max="6" width="18" style="4" bestFit="1" customWidth="1"/>
    <col min="7" max="7" width="15.140625" style="4" bestFit="1" customWidth="1"/>
    <col min="8" max="11" width="7.42578125" style="4" bestFit="1" customWidth="1"/>
    <col min="12" max="12" width="15.7109375" style="4" customWidth="1"/>
    <col min="13" max="13" width="1.7109375" style="4" bestFit="1" customWidth="1"/>
    <col min="14" max="14" width="12.85546875" style="4" bestFit="1" customWidth="1"/>
    <col min="15" max="15" width="10" style="4" bestFit="1" customWidth="1"/>
    <col min="16" max="16" width="20.85546875" style="4" bestFit="1" customWidth="1"/>
    <col min="17" max="16384" width="9.140625" style="4"/>
  </cols>
  <sheetData>
    <row r="1" spans="1:16" ht="15.75">
      <c r="A1" s="2" t="s">
        <v>43</v>
      </c>
      <c r="B1" s="3"/>
      <c r="C1" s="3"/>
      <c r="D1" s="65" t="s">
        <v>44</v>
      </c>
      <c r="E1" s="65"/>
      <c r="F1" s="65" t="s">
        <v>44</v>
      </c>
      <c r="G1" s="65"/>
      <c r="H1" s="65"/>
      <c r="I1" s="65"/>
      <c r="J1" s="65"/>
      <c r="K1" s="65"/>
      <c r="L1" s="3"/>
      <c r="O1" s="4" t="s">
        <v>45</v>
      </c>
      <c r="P1" s="71">
        <v>1</v>
      </c>
    </row>
    <row r="2" spans="1:16" ht="15.75">
      <c r="A2" s="2" t="s">
        <v>46</v>
      </c>
      <c r="B2" s="3"/>
      <c r="C2"/>
      <c r="D2"/>
      <c r="E2"/>
      <c r="F2"/>
      <c r="G2"/>
      <c r="H2"/>
      <c r="I2"/>
      <c r="J2"/>
      <c r="K2"/>
      <c r="L2" s="3"/>
      <c r="O2" s="4" t="s">
        <v>47</v>
      </c>
      <c r="P2" s="75">
        <v>0.05</v>
      </c>
    </row>
    <row r="3" spans="1:16" ht="15.75">
      <c r="A3" s="2"/>
      <c r="B3" s="3"/>
      <c r="C3"/>
      <c r="D3"/>
      <c r="E3"/>
      <c r="F3"/>
      <c r="G3"/>
      <c r="H3"/>
      <c r="I3"/>
      <c r="J3"/>
      <c r="K3"/>
      <c r="L3" s="3"/>
      <c r="O3" s="4" t="s">
        <v>48</v>
      </c>
      <c r="P3" s="75">
        <v>0.28999999999999998</v>
      </c>
    </row>
    <row r="4" spans="1:16" ht="15.75">
      <c r="A4" s="2"/>
      <c r="B4" s="3"/>
      <c r="C4"/>
      <c r="D4"/>
      <c r="E4"/>
      <c r="F4"/>
      <c r="G4"/>
      <c r="H4"/>
      <c r="I4"/>
      <c r="J4"/>
      <c r="K4"/>
      <c r="L4" s="3"/>
      <c r="O4" s="4" t="s">
        <v>48</v>
      </c>
      <c r="P4" s="75">
        <v>0.28999999999999998</v>
      </c>
    </row>
    <row r="5" spans="1:16" ht="15.75">
      <c r="A5" s="153" t="s">
        <v>49</v>
      </c>
      <c r="B5" s="154"/>
      <c r="C5" s="3"/>
      <c r="D5" s="58"/>
      <c r="E5" s="58"/>
      <c r="F5" s="58"/>
      <c r="G5" s="58"/>
      <c r="H5" s="58"/>
      <c r="I5" s="58"/>
      <c r="J5" s="58"/>
      <c r="K5" s="58"/>
      <c r="L5" s="3"/>
      <c r="O5" s="4" t="s">
        <v>50</v>
      </c>
      <c r="P5" s="72">
        <v>4.0000000000000001E-3</v>
      </c>
    </row>
    <row r="6" spans="1:16" ht="16.5" thickBot="1">
      <c r="A6" s="67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O6" s="4" t="s">
        <v>51</v>
      </c>
      <c r="P6" s="72">
        <v>7.0000000000000007E-2</v>
      </c>
    </row>
    <row r="7" spans="1:16" ht="15.7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O7" s="4" t="s">
        <v>52</v>
      </c>
      <c r="P7" s="72">
        <v>0</v>
      </c>
    </row>
    <row r="8" spans="1:16" ht="15.75">
      <c r="B8" s="184" t="s">
        <v>53</v>
      </c>
      <c r="C8" s="184"/>
      <c r="D8" s="184"/>
      <c r="E8" s="184"/>
      <c r="F8" s="184"/>
      <c r="G8" s="184"/>
      <c r="H8" s="184"/>
      <c r="I8" s="184"/>
      <c r="J8" s="184"/>
      <c r="K8" s="184"/>
      <c r="L8" s="184"/>
      <c r="O8" s="4" t="s">
        <v>54</v>
      </c>
      <c r="P8" s="72">
        <v>0.02</v>
      </c>
    </row>
    <row r="9" spans="1:16" ht="15.75">
      <c r="A9" s="43"/>
      <c r="B9" s="42" t="s">
        <v>55</v>
      </c>
      <c r="C9" s="171">
        <v>46142</v>
      </c>
      <c r="D9" s="6"/>
      <c r="E9" s="6"/>
      <c r="F9" s="6"/>
      <c r="G9" s="6"/>
      <c r="H9" s="6"/>
      <c r="I9" s="6"/>
      <c r="J9" s="6"/>
      <c r="K9" s="6"/>
      <c r="L9" s="6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6" ht="15.75">
      <c r="A11" s="3"/>
      <c r="B11" s="3"/>
      <c r="C11" s="3"/>
      <c r="D11" s="7" t="s">
        <v>56</v>
      </c>
      <c r="E11" s="7"/>
      <c r="F11" s="7"/>
      <c r="G11" s="7"/>
      <c r="H11" s="7"/>
      <c r="I11" s="7"/>
      <c r="J11" s="7"/>
      <c r="K11" s="7"/>
    </row>
    <row r="12" spans="1:16" ht="15.75">
      <c r="A12" s="2"/>
      <c r="B12" s="3"/>
      <c r="D12" s="1" t="s">
        <v>57</v>
      </c>
      <c r="E12" s="1"/>
      <c r="F12" s="1"/>
      <c r="G12" s="1"/>
      <c r="H12" s="1"/>
      <c r="I12" s="1"/>
      <c r="J12" s="1"/>
      <c r="K12" s="1"/>
      <c r="L12" s="8" t="s">
        <v>58</v>
      </c>
    </row>
    <row r="13" spans="1:16" ht="15.75">
      <c r="A13" s="2"/>
      <c r="B13" s="3"/>
      <c r="C13" s="8" t="s">
        <v>59</v>
      </c>
      <c r="D13" s="7" t="s">
        <v>60</v>
      </c>
      <c r="E13" s="7"/>
      <c r="F13" s="7"/>
      <c r="G13" s="7"/>
      <c r="H13" s="7"/>
      <c r="I13" s="7"/>
      <c r="J13" s="7"/>
      <c r="K13" s="7"/>
      <c r="L13" s="9" t="s">
        <v>61</v>
      </c>
    </row>
    <row r="14" spans="1:16" ht="15.75">
      <c r="A14" s="2"/>
      <c r="B14" s="3"/>
      <c r="C14" s="8" t="s">
        <v>62</v>
      </c>
      <c r="D14" s="159" t="s">
        <v>63</v>
      </c>
      <c r="E14" s="159" t="s">
        <v>64</v>
      </c>
      <c r="F14" s="159" t="s">
        <v>65</v>
      </c>
      <c r="G14" s="159" t="s">
        <v>66</v>
      </c>
      <c r="H14" s="159"/>
      <c r="I14" s="159"/>
      <c r="J14" s="159"/>
      <c r="K14" s="159"/>
      <c r="L14" s="8" t="s">
        <v>60</v>
      </c>
    </row>
    <row r="15" spans="1:16" ht="15.75">
      <c r="A15" s="2"/>
      <c r="B15" s="3"/>
      <c r="C15" s="156" t="s">
        <v>67</v>
      </c>
      <c r="D15" s="157">
        <v>1</v>
      </c>
      <c r="E15" s="157">
        <v>0</v>
      </c>
      <c r="F15" s="157">
        <v>0</v>
      </c>
      <c r="G15" s="157">
        <v>0</v>
      </c>
      <c r="H15" s="157"/>
      <c r="I15" s="157"/>
      <c r="J15" s="157"/>
      <c r="K15" s="157"/>
      <c r="L15" s="157">
        <f>+C15-D15-E15-F15-G15-H15-I15-J15-K15</f>
        <v>0</v>
      </c>
    </row>
    <row r="16" spans="1:16" ht="15.75">
      <c r="A16" s="10" t="s">
        <v>68</v>
      </c>
      <c r="B16" s="45" t="s">
        <v>69</v>
      </c>
      <c r="C16" s="18"/>
      <c r="D16" s="18">
        <f>+C16*D15</f>
        <v>0</v>
      </c>
      <c r="E16" s="18">
        <f>+C16*E15</f>
        <v>0</v>
      </c>
      <c r="F16" s="18">
        <f>+C16*F15</f>
        <v>0</v>
      </c>
      <c r="G16" s="18">
        <f>+C16*G15</f>
        <v>0</v>
      </c>
      <c r="H16" s="18">
        <f>+C16*H15</f>
        <v>0</v>
      </c>
      <c r="I16" s="18">
        <f>+C16*I15</f>
        <v>0</v>
      </c>
      <c r="J16" s="18">
        <f>+C16*J15</f>
        <v>0</v>
      </c>
      <c r="K16" s="18">
        <f>+C16*K15</f>
        <v>0</v>
      </c>
      <c r="L16" s="18">
        <f>+C16-D16-E16-F16-G16-H16-I16-J16-K16</f>
        <v>0</v>
      </c>
      <c r="P16" s="11"/>
    </row>
    <row r="17" spans="1:16" ht="15.75">
      <c r="A17" s="10" t="s">
        <v>70</v>
      </c>
      <c r="B17" s="46" t="s">
        <v>71</v>
      </c>
      <c r="C17" s="18">
        <f>'MTHLY-TOTAL'!E13</f>
        <v>0</v>
      </c>
      <c r="D17" s="18">
        <f>+C17*$D$15</f>
        <v>0</v>
      </c>
      <c r="E17" s="18">
        <f>+C17*$E$15</f>
        <v>0</v>
      </c>
      <c r="F17" s="18">
        <f>+C17*$F$15</f>
        <v>0</v>
      </c>
      <c r="G17" s="18">
        <f>+C17*$G$15</f>
        <v>0</v>
      </c>
      <c r="H17" s="18">
        <f>+C17*$H$15</f>
        <v>0</v>
      </c>
      <c r="I17" s="18">
        <f>+C17*$I$15</f>
        <v>0</v>
      </c>
      <c r="J17" s="18">
        <f>+C17*$J$15</f>
        <v>0</v>
      </c>
      <c r="K17" s="18">
        <f>+C17*$K$15</f>
        <v>0</v>
      </c>
      <c r="L17" s="18">
        <f>+C17-D17-E17-F17-G17-H17-I17-J17-K17</f>
        <v>0</v>
      </c>
      <c r="P17" s="11"/>
    </row>
    <row r="18" spans="1:16" ht="15.75">
      <c r="A18" s="10" t="s">
        <v>72</v>
      </c>
      <c r="B18" s="45" t="s">
        <v>73</v>
      </c>
      <c r="C18" s="52">
        <f t="shared" ref="C18:L18" si="0">+C16+C17</f>
        <v>0</v>
      </c>
      <c r="D18" s="52">
        <f t="shared" si="0"/>
        <v>0</v>
      </c>
      <c r="E18" s="52">
        <f t="shared" si="0"/>
        <v>0</v>
      </c>
      <c r="F18" s="52">
        <f t="shared" si="0"/>
        <v>0</v>
      </c>
      <c r="G18" s="52">
        <f t="shared" si="0"/>
        <v>0</v>
      </c>
      <c r="H18" s="52">
        <f t="shared" ref="H18:I18" si="1">+H16+H17</f>
        <v>0</v>
      </c>
      <c r="I18" s="52">
        <f t="shared" si="1"/>
        <v>0</v>
      </c>
      <c r="J18" s="52">
        <f t="shared" ref="J18" si="2">+J16+J17</f>
        <v>0</v>
      </c>
      <c r="K18" s="52">
        <f>+K16+K17</f>
        <v>0</v>
      </c>
      <c r="L18" s="52">
        <f t="shared" si="0"/>
        <v>0</v>
      </c>
    </row>
    <row r="19" spans="1:16" ht="15.75">
      <c r="A19" s="10"/>
      <c r="B19" s="45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6" ht="15.75">
      <c r="A20" s="10" t="s">
        <v>74</v>
      </c>
      <c r="B20" s="47" t="s">
        <v>75</v>
      </c>
      <c r="C20" s="51">
        <f>'MTHLY-TOTAL'!E14</f>
        <v>-12464.16</v>
      </c>
      <c r="D20" s="18">
        <f>+C20*D$15</f>
        <v>-12464.16</v>
      </c>
      <c r="E20" s="18">
        <f>+C20*E$15</f>
        <v>0</v>
      </c>
      <c r="F20" s="18">
        <f>+C20*F$15</f>
        <v>0</v>
      </c>
      <c r="G20" s="18">
        <f>+C20*G$15</f>
        <v>0</v>
      </c>
      <c r="H20" s="18">
        <f>+C20*H$15</f>
        <v>0</v>
      </c>
      <c r="I20" s="18">
        <f>+C20*I$15</f>
        <v>0</v>
      </c>
      <c r="J20" s="18">
        <f>+C20*J$15</f>
        <v>0</v>
      </c>
      <c r="K20" s="18">
        <f>+C20*K$15</f>
        <v>0</v>
      </c>
      <c r="L20" s="18">
        <f>+C20-D20-E20-F20-G20-H20-I20-J20-K20</f>
        <v>0</v>
      </c>
    </row>
    <row r="21" spans="1:16" ht="15.75">
      <c r="A21" s="10" t="s">
        <v>76</v>
      </c>
      <c r="B21" s="46" t="s">
        <v>71</v>
      </c>
      <c r="C21" s="51">
        <f>'MTHLY-TOTAL'!E15</f>
        <v>0</v>
      </c>
      <c r="D21" s="18">
        <f>+C21*D$15</f>
        <v>0</v>
      </c>
      <c r="E21" s="18">
        <f>+C21*E$15</f>
        <v>0</v>
      </c>
      <c r="F21" s="18">
        <f>+C21*F$15</f>
        <v>0</v>
      </c>
      <c r="G21" s="18">
        <f>+C21*G$15</f>
        <v>0</v>
      </c>
      <c r="H21" s="18">
        <f>+C21*H$15</f>
        <v>0</v>
      </c>
      <c r="I21" s="18">
        <f>+C21*I$15</f>
        <v>0</v>
      </c>
      <c r="J21" s="18">
        <f>+C21*J$15</f>
        <v>0</v>
      </c>
      <c r="K21" s="18">
        <f>+C21*K$15</f>
        <v>0</v>
      </c>
      <c r="L21" s="18">
        <f>+C21-D21-E21-F21-G21-H21-I21-J21-K21</f>
        <v>0</v>
      </c>
      <c r="P21" s="11"/>
    </row>
    <row r="22" spans="1:16" ht="15.75">
      <c r="A22" s="10" t="s">
        <v>77</v>
      </c>
      <c r="B22" s="47" t="s">
        <v>78</v>
      </c>
      <c r="C22" s="52">
        <f t="shared" ref="C22:L22" si="3">C20+C21</f>
        <v>-12464.16</v>
      </c>
      <c r="D22" s="52">
        <f t="shared" si="3"/>
        <v>-12464.16</v>
      </c>
      <c r="E22" s="52">
        <f t="shared" si="3"/>
        <v>0</v>
      </c>
      <c r="F22" s="52">
        <f t="shared" si="3"/>
        <v>0</v>
      </c>
      <c r="G22" s="52">
        <f t="shared" si="3"/>
        <v>0</v>
      </c>
      <c r="H22" s="52">
        <f t="shared" ref="H22:I22" si="4">H20+H21</f>
        <v>0</v>
      </c>
      <c r="I22" s="52">
        <f t="shared" si="4"/>
        <v>0</v>
      </c>
      <c r="J22" s="52">
        <f t="shared" ref="J22" si="5">J20+J21</f>
        <v>0</v>
      </c>
      <c r="K22" s="52">
        <f>K20+K21</f>
        <v>0</v>
      </c>
      <c r="L22" s="52">
        <f t="shared" si="3"/>
        <v>0</v>
      </c>
    </row>
    <row r="23" spans="1:16" ht="15.75">
      <c r="B23" s="45"/>
      <c r="C23" s="8"/>
      <c r="D23" s="7"/>
      <c r="E23" s="7"/>
      <c r="F23" s="7"/>
      <c r="G23" s="7"/>
      <c r="H23" s="7"/>
      <c r="I23" s="7"/>
      <c r="J23" s="7"/>
      <c r="K23" s="7"/>
      <c r="L23" s="8"/>
      <c r="O23" s="11"/>
    </row>
    <row r="24" spans="1:16" ht="15.75">
      <c r="A24" s="150" t="s">
        <v>79</v>
      </c>
      <c r="B24" s="76" t="s">
        <v>80</v>
      </c>
      <c r="C24" s="18">
        <f>D24+E24+F24+G24+H24+I24+J24+K24</f>
        <v>-3614.6063999999997</v>
      </c>
      <c r="D24" s="18">
        <f>D20*P3</f>
        <v>-3614.6063999999997</v>
      </c>
      <c r="E24" s="18">
        <f>E20*P3</f>
        <v>0</v>
      </c>
      <c r="F24" s="18">
        <f>F20*P3</f>
        <v>0</v>
      </c>
      <c r="G24" s="18">
        <f>G20*P3</f>
        <v>0</v>
      </c>
      <c r="H24" s="18">
        <f>H20*P3</f>
        <v>0</v>
      </c>
      <c r="I24" s="18">
        <f>I20*P3</f>
        <v>0</v>
      </c>
      <c r="J24" s="18">
        <f>J20*P3</f>
        <v>0</v>
      </c>
      <c r="K24" s="18">
        <f>K20*P3</f>
        <v>0</v>
      </c>
      <c r="L24" s="51">
        <f>C24-D24-E24-F24-G24-H24-I24-J24-K24</f>
        <v>0</v>
      </c>
      <c r="M24" s="18"/>
      <c r="O24" s="11"/>
      <c r="P24" s="11"/>
    </row>
    <row r="25" spans="1:16" ht="15.75">
      <c r="A25" s="150"/>
      <c r="B25" s="76" t="s">
        <v>81</v>
      </c>
      <c r="C25" s="18">
        <f>+C21</f>
        <v>0</v>
      </c>
      <c r="D25" s="18">
        <f t="shared" ref="D25:L25" si="6">+D21</f>
        <v>0</v>
      </c>
      <c r="E25" s="18">
        <f>+E21</f>
        <v>0</v>
      </c>
      <c r="F25" s="18">
        <f t="shared" ref="F25" si="7">+F21</f>
        <v>0</v>
      </c>
      <c r="G25" s="18">
        <f>+G21</f>
        <v>0</v>
      </c>
      <c r="H25" s="18">
        <f>+H21</f>
        <v>0</v>
      </c>
      <c r="I25" s="18">
        <f>+I21</f>
        <v>0</v>
      </c>
      <c r="J25" s="18">
        <f>+J21</f>
        <v>0</v>
      </c>
      <c r="K25" s="18">
        <f>+K21</f>
        <v>0</v>
      </c>
      <c r="L25" s="18">
        <f t="shared" si="6"/>
        <v>0</v>
      </c>
      <c r="M25" s="18"/>
    </row>
    <row r="26" spans="1:16" ht="15.75">
      <c r="A26" s="150"/>
      <c r="B26" s="151" t="s">
        <v>82</v>
      </c>
      <c r="C26" s="52">
        <f t="shared" ref="C26:L26" si="8">SUM(C23:C25)</f>
        <v>-3614.6063999999997</v>
      </c>
      <c r="D26" s="52">
        <f t="shared" si="8"/>
        <v>-3614.6063999999997</v>
      </c>
      <c r="E26" s="52">
        <f t="shared" si="8"/>
        <v>0</v>
      </c>
      <c r="F26" s="52">
        <f t="shared" si="8"/>
        <v>0</v>
      </c>
      <c r="G26" s="52">
        <f t="shared" si="8"/>
        <v>0</v>
      </c>
      <c r="H26" s="52">
        <f t="shared" si="8"/>
        <v>0</v>
      </c>
      <c r="I26" s="52">
        <f t="shared" ref="I26:J26" si="9">SUM(I23:I25)</f>
        <v>0</v>
      </c>
      <c r="J26" s="52">
        <f t="shared" si="9"/>
        <v>0</v>
      </c>
      <c r="K26" s="52">
        <f>SUM(K23:K25)</f>
        <v>0</v>
      </c>
      <c r="L26" s="52">
        <f t="shared" si="8"/>
        <v>0</v>
      </c>
      <c r="M26" s="18"/>
    </row>
    <row r="27" spans="1:16" ht="15.75">
      <c r="A27" s="150"/>
      <c r="B27" s="1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18"/>
    </row>
    <row r="28" spans="1:16" ht="15.75">
      <c r="A28" s="150" t="s">
        <v>83</v>
      </c>
      <c r="B28" s="45" t="s">
        <v>84</v>
      </c>
      <c r="C28" s="161">
        <v>0</v>
      </c>
      <c r="D28" s="18">
        <f>+C28*$D$15</f>
        <v>0</v>
      </c>
      <c r="E28" s="18">
        <f>+C28*$E$15</f>
        <v>0</v>
      </c>
      <c r="F28" s="18">
        <f>+C28*$F$15</f>
        <v>0</v>
      </c>
      <c r="G28" s="18">
        <f>+C28*$G$15</f>
        <v>0</v>
      </c>
      <c r="H28" s="18">
        <f>+C28*$H$15</f>
        <v>0</v>
      </c>
      <c r="I28" s="18">
        <f>+C28*$I$15</f>
        <v>0</v>
      </c>
      <c r="J28" s="18">
        <f>+C28*$J$15</f>
        <v>0</v>
      </c>
      <c r="K28" s="18">
        <f>+C28*$K$15</f>
        <v>0</v>
      </c>
      <c r="L28" s="18">
        <f>+C28-D28-E28-F28-G28-H28-I28-J28-K28</f>
        <v>0</v>
      </c>
    </row>
    <row r="29" spans="1:16" ht="15.75">
      <c r="A29" s="150"/>
      <c r="B29" s="45" t="s">
        <v>85</v>
      </c>
      <c r="C29" s="18">
        <f>'MTHLY-TOTAL'!E19</f>
        <v>207475.83000000002</v>
      </c>
      <c r="D29" s="18">
        <f>+C29*$D$15</f>
        <v>207475.83000000002</v>
      </c>
      <c r="E29" s="18">
        <f>+C29*$E$15</f>
        <v>0</v>
      </c>
      <c r="F29" s="18">
        <f>+C29*$F$15</f>
        <v>0</v>
      </c>
      <c r="G29" s="18">
        <f>+C29*$G$15</f>
        <v>0</v>
      </c>
      <c r="H29" s="18">
        <f>+C29*$H$15</f>
        <v>0</v>
      </c>
      <c r="I29" s="18">
        <f>+C29*$I$15</f>
        <v>0</v>
      </c>
      <c r="J29" s="18">
        <f>+C29*$J$15</f>
        <v>0</v>
      </c>
      <c r="K29" s="18">
        <f>+C29*$K$15</f>
        <v>0</v>
      </c>
      <c r="L29" s="18">
        <f>+C29-D29-E29-F29-G29-H29-I29-J29-K29</f>
        <v>0</v>
      </c>
    </row>
    <row r="30" spans="1:16" ht="15.75">
      <c r="A30" s="150"/>
      <c r="B30" s="152" t="s">
        <v>86</v>
      </c>
      <c r="C30" s="18">
        <f>'MTHLY-TOTAL'!C29</f>
        <v>0</v>
      </c>
      <c r="D30" s="18">
        <f>+C30*$D$15</f>
        <v>0</v>
      </c>
      <c r="E30" s="18">
        <f>+C30*$E$15</f>
        <v>0</v>
      </c>
      <c r="F30" s="18">
        <f>+C30*$F$15</f>
        <v>0</v>
      </c>
      <c r="G30" s="18">
        <f>+C30*$G$15</f>
        <v>0</v>
      </c>
      <c r="H30" s="18">
        <f>+C30*$H$15</f>
        <v>0</v>
      </c>
      <c r="I30" s="18">
        <f>+C30*$I$15</f>
        <v>0</v>
      </c>
      <c r="J30" s="18">
        <f>+C30*$J$15</f>
        <v>0</v>
      </c>
      <c r="K30" s="18">
        <f>+C30*$K$15</f>
        <v>0</v>
      </c>
      <c r="L30" s="18">
        <f>+C30-D30-E30-F30-G30-H30-I30-J30-K30</f>
        <v>0</v>
      </c>
    </row>
    <row r="31" spans="1:16" ht="15.75">
      <c r="A31" s="10"/>
      <c r="B31" s="45" t="s">
        <v>87</v>
      </c>
      <c r="C31" s="18">
        <f>'MTHLY-TOTAL'!E20</f>
        <v>0</v>
      </c>
      <c r="D31" s="18">
        <f>+C31*$D$15</f>
        <v>0</v>
      </c>
      <c r="E31" s="18">
        <f>+C31*$E$15</f>
        <v>0</v>
      </c>
      <c r="F31" s="18">
        <f>+C31*$F$15</f>
        <v>0</v>
      </c>
      <c r="G31" s="18">
        <f>+C31*$G$15</f>
        <v>0</v>
      </c>
      <c r="H31" s="18">
        <f>+C31*$H$15</f>
        <v>0</v>
      </c>
      <c r="I31" s="18">
        <f>+C31*$I$15</f>
        <v>0</v>
      </c>
      <c r="J31" s="18">
        <f>+C31*$J$15</f>
        <v>0</v>
      </c>
      <c r="K31" s="18">
        <f>+C31*$K$15</f>
        <v>0</v>
      </c>
      <c r="L31" s="18">
        <f>+C31-D31-E31-F31-G31-H31-I31-J31-K31</f>
        <v>0</v>
      </c>
    </row>
    <row r="32" spans="1:16" ht="15.75">
      <c r="A32" s="54"/>
      <c r="B32" s="45" t="s">
        <v>88</v>
      </c>
      <c r="C32" s="18">
        <f>'MTHLY-TOTAL'!E21</f>
        <v>-872.49119999999994</v>
      </c>
      <c r="D32" s="18">
        <f>+$C32*D15</f>
        <v>-872.49119999999994</v>
      </c>
      <c r="E32" s="18">
        <f t="shared" ref="E32:G32" si="10">+$C32*E15</f>
        <v>0</v>
      </c>
      <c r="F32" s="18">
        <f t="shared" si="10"/>
        <v>0</v>
      </c>
      <c r="G32" s="18">
        <f t="shared" si="10"/>
        <v>0</v>
      </c>
      <c r="H32" s="18">
        <f>+C32*$H$15</f>
        <v>0</v>
      </c>
      <c r="I32" s="18">
        <f>+C32*$I$15</f>
        <v>0</v>
      </c>
      <c r="J32" s="18">
        <f>+C32*$J$15</f>
        <v>0</v>
      </c>
      <c r="K32" s="18">
        <f>+C32*$K$15</f>
        <v>0</v>
      </c>
      <c r="L32" s="18">
        <f>+C32-D32-E32-F32-G32-H32-I32-J32-K32</f>
        <v>0</v>
      </c>
      <c r="N32" s="11"/>
      <c r="P32" s="11"/>
    </row>
    <row r="33" spans="1:16" ht="15.75">
      <c r="A33" s="2"/>
      <c r="B33" s="48" t="s">
        <v>89</v>
      </c>
      <c r="C33" s="52">
        <f t="shared" ref="C33:L33" si="11">SUM(C28:C32)</f>
        <v>206603.33880000003</v>
      </c>
      <c r="D33" s="52">
        <f>SUM(D28:D32)</f>
        <v>206603.33880000003</v>
      </c>
      <c r="E33" s="52">
        <f t="shared" si="11"/>
        <v>0</v>
      </c>
      <c r="F33" s="52">
        <f t="shared" si="11"/>
        <v>0</v>
      </c>
      <c r="G33" s="52">
        <f t="shared" si="11"/>
        <v>0</v>
      </c>
      <c r="H33" s="52">
        <f t="shared" ref="H33:J33" si="12">SUM(H28:H32)</f>
        <v>0</v>
      </c>
      <c r="I33" s="52">
        <f t="shared" ref="I33" si="13">SUM(I28:I32)</f>
        <v>0</v>
      </c>
      <c r="J33" s="52">
        <f t="shared" si="12"/>
        <v>0</v>
      </c>
      <c r="K33" s="52">
        <f>SUM(K28:K32)</f>
        <v>0</v>
      </c>
      <c r="L33" s="52">
        <f t="shared" si="11"/>
        <v>0</v>
      </c>
      <c r="P33" s="11"/>
    </row>
    <row r="34" spans="1:16" ht="15.75">
      <c r="A34" s="2"/>
      <c r="B34" s="46"/>
      <c r="C34" s="51"/>
      <c r="D34" s="51"/>
      <c r="E34" s="51"/>
      <c r="F34" s="51"/>
      <c r="G34" s="51"/>
      <c r="H34" s="51"/>
      <c r="I34" s="51"/>
      <c r="J34" s="51"/>
      <c r="K34" s="51"/>
      <c r="L34" s="51"/>
      <c r="P34" s="11"/>
    </row>
    <row r="35" spans="1:16" ht="15.75">
      <c r="A35" s="2"/>
      <c r="B35" s="49" t="s">
        <v>90</v>
      </c>
      <c r="C35" s="53">
        <f>C22-C26-C33</f>
        <v>-215452.89240000001</v>
      </c>
      <c r="D35" s="53">
        <f t="shared" ref="D35:L35" si="14">D22-D26-D33</f>
        <v>-215452.89240000001</v>
      </c>
      <c r="E35" s="53">
        <f>E22-E26-E33</f>
        <v>0</v>
      </c>
      <c r="F35" s="53">
        <f t="shared" ref="F35" si="15">F22-F26-F33</f>
        <v>0</v>
      </c>
      <c r="G35" s="53">
        <f>G22-G26-G33</f>
        <v>0</v>
      </c>
      <c r="H35" s="53">
        <f>H22-H26-H33</f>
        <v>0</v>
      </c>
      <c r="I35" s="53">
        <f>I22-I26-I33</f>
        <v>0</v>
      </c>
      <c r="J35" s="53">
        <f>J22-J26-J33</f>
        <v>0</v>
      </c>
      <c r="K35" s="53">
        <f>K22-K26-K33</f>
        <v>0</v>
      </c>
      <c r="L35" s="53">
        <f t="shared" si="14"/>
        <v>0</v>
      </c>
    </row>
    <row r="36" spans="1:16" ht="15.7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N36" s="11"/>
      <c r="P36" s="11"/>
    </row>
    <row r="37" spans="1:16" ht="15.75">
      <c r="A37" s="10" t="s">
        <v>91</v>
      </c>
      <c r="B37" s="76" t="s">
        <v>92</v>
      </c>
      <c r="C37" s="3"/>
      <c r="D37" s="3"/>
      <c r="E37" s="3"/>
      <c r="F37" s="3"/>
      <c r="G37" s="3"/>
      <c r="H37" s="3"/>
      <c r="I37" s="3"/>
      <c r="J37" s="3"/>
      <c r="K37" s="3"/>
      <c r="L37" s="11">
        <f>C22*$P$2</f>
        <v>-623.20800000000008</v>
      </c>
      <c r="M37" s="4" t="s">
        <v>93</v>
      </c>
      <c r="N37" s="57"/>
    </row>
    <row r="38" spans="1:16" ht="15.75">
      <c r="A38" s="10" t="s">
        <v>94</v>
      </c>
      <c r="B38" s="50" t="s">
        <v>95</v>
      </c>
      <c r="C38" s="3"/>
      <c r="D38" s="162">
        <f>-L38</f>
        <v>0</v>
      </c>
      <c r="E38" s="3"/>
      <c r="F38" s="3"/>
      <c r="G38" s="3"/>
      <c r="H38" s="3"/>
      <c r="I38" s="3"/>
      <c r="J38" s="3"/>
      <c r="K38" s="3"/>
      <c r="L38" s="11">
        <f>+C18*$P$5</f>
        <v>0</v>
      </c>
      <c r="N38" s="57"/>
    </row>
    <row r="39" spans="1:16" ht="15.75">
      <c r="A39" s="10" t="s">
        <v>96</v>
      </c>
      <c r="B39" s="50" t="s">
        <v>97</v>
      </c>
      <c r="C39" s="3"/>
      <c r="L39" s="11">
        <f>+C18*$P$7</f>
        <v>0</v>
      </c>
      <c r="N39" s="57"/>
    </row>
    <row r="40" spans="1:16" ht="15.75">
      <c r="A40" s="10" t="s">
        <v>98</v>
      </c>
      <c r="B40" s="50" t="s">
        <v>54</v>
      </c>
      <c r="C40" s="3"/>
      <c r="D40" s="162">
        <f>-L40</f>
        <v>0</v>
      </c>
      <c r="E40" s="3"/>
      <c r="F40" s="3"/>
      <c r="G40" s="3"/>
      <c r="H40" s="3"/>
      <c r="I40" s="3"/>
      <c r="J40" s="3"/>
      <c r="K40" s="3"/>
      <c r="L40" s="11">
        <f>+C18*(P8)</f>
        <v>0</v>
      </c>
    </row>
    <row r="41" spans="1:16" ht="15.75">
      <c r="A41" s="2"/>
      <c r="B41" s="13" t="s">
        <v>99</v>
      </c>
      <c r="C41" s="3"/>
      <c r="D41" s="14"/>
      <c r="E41" s="14"/>
      <c r="F41" s="14"/>
      <c r="G41" s="14"/>
      <c r="H41" s="14"/>
      <c r="I41" s="14"/>
      <c r="J41" s="14"/>
      <c r="K41" s="14"/>
      <c r="L41" s="70">
        <f>SUM(L37:L40)</f>
        <v>-623.20800000000008</v>
      </c>
    </row>
    <row r="42" spans="1:16" ht="15.7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6" ht="15.7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6" ht="16.5" thickBot="1">
      <c r="A44" s="2"/>
      <c r="B44" s="13" t="s">
        <v>100</v>
      </c>
      <c r="C44" s="3" t="s">
        <v>101</v>
      </c>
      <c r="D44" s="163">
        <f>D35+D38+D39+D40</f>
        <v>-215452.89240000001</v>
      </c>
      <c r="E44" s="15">
        <f t="shared" ref="E44:K44" si="16">+E35+E41</f>
        <v>0</v>
      </c>
      <c r="F44" s="15">
        <f t="shared" si="16"/>
        <v>0</v>
      </c>
      <c r="G44" s="15">
        <f t="shared" si="16"/>
        <v>0</v>
      </c>
      <c r="H44" s="15">
        <f t="shared" si="16"/>
        <v>0</v>
      </c>
      <c r="I44" s="15">
        <f t="shared" si="16"/>
        <v>0</v>
      </c>
      <c r="J44" s="15">
        <f t="shared" si="16"/>
        <v>0</v>
      </c>
      <c r="K44" s="15">
        <f t="shared" si="16"/>
        <v>0</v>
      </c>
    </row>
    <row r="45" spans="1:16" ht="17.25" thickTop="1" thickBot="1">
      <c r="A45" s="2"/>
      <c r="B45" s="13" t="s">
        <v>102</v>
      </c>
      <c r="C45" s="3" t="s">
        <v>103</v>
      </c>
      <c r="D45" s="14"/>
      <c r="E45" s="14"/>
      <c r="F45" s="14"/>
      <c r="G45" s="14"/>
      <c r="H45" s="14"/>
      <c r="I45" s="14"/>
      <c r="J45" s="14"/>
      <c r="K45" s="14"/>
      <c r="L45" s="172">
        <f>+L35+L41</f>
        <v>-623.20800000000008</v>
      </c>
    </row>
    <row r="46" spans="1:16" ht="16.5" thickTop="1">
      <c r="A46" s="2"/>
      <c r="B46" s="13"/>
      <c r="C46" s="3"/>
      <c r="D46" s="14"/>
      <c r="E46" s="14"/>
      <c r="F46" s="14"/>
      <c r="G46" s="14"/>
      <c r="H46" s="14"/>
      <c r="I46" s="14"/>
      <c r="J46" s="14"/>
      <c r="K46" s="14"/>
    </row>
    <row r="47" spans="1:16" ht="15.75">
      <c r="A47" s="2"/>
      <c r="B47" s="13" t="s">
        <v>104</v>
      </c>
      <c r="C47" s="4" t="s">
        <v>105</v>
      </c>
      <c r="L47" s="66">
        <v>0</v>
      </c>
    </row>
    <row r="48" spans="1:16" ht="15.75">
      <c r="A48" s="2"/>
      <c r="B48" s="13"/>
      <c r="L48" s="2"/>
    </row>
    <row r="49" spans="1:12" ht="15.75">
      <c r="A49" s="2"/>
      <c r="B49" s="13" t="s">
        <v>106</v>
      </c>
      <c r="L49" s="66">
        <v>0</v>
      </c>
    </row>
    <row r="50" spans="1:12" ht="15.75">
      <c r="A50" s="2"/>
      <c r="B50" s="16"/>
      <c r="L50" s="12"/>
    </row>
    <row r="51" spans="1:12" ht="16.5" thickBot="1">
      <c r="A51" s="2"/>
      <c r="B51" s="13" t="s">
        <v>107</v>
      </c>
      <c r="L51" s="15">
        <f>+L45+L49</f>
        <v>-623.20800000000008</v>
      </c>
    </row>
    <row r="52" spans="1:12" ht="16.5" thickTop="1">
      <c r="A52" s="2"/>
      <c r="B52" s="16"/>
      <c r="L52" s="14"/>
    </row>
    <row r="53" spans="1:12" ht="15.75">
      <c r="A53" s="2"/>
      <c r="B53" s="16"/>
      <c r="L53" s="14"/>
    </row>
    <row r="54" spans="1:12" ht="15.75">
      <c r="A54" s="2"/>
    </row>
    <row r="56" spans="1:12" ht="15.75">
      <c r="B56" s="17" t="s">
        <v>108</v>
      </c>
      <c r="C56" s="18">
        <f>'MTHLY-TOTAL'!E24</f>
        <v>889754.56</v>
      </c>
      <c r="D56" s="18">
        <f>+C56*$D$15</f>
        <v>889754.56</v>
      </c>
      <c r="E56" s="18">
        <f>+C56*$E$15</f>
        <v>0</v>
      </c>
      <c r="F56" s="18">
        <f>+C56*$F$15</f>
        <v>0</v>
      </c>
      <c r="G56" s="18">
        <f>+C56*$G$15</f>
        <v>0</v>
      </c>
      <c r="H56" s="18">
        <f>+C56*$H$15</f>
        <v>0</v>
      </c>
      <c r="I56" s="18">
        <f>+C56*$I$15</f>
        <v>0</v>
      </c>
      <c r="J56" s="18">
        <f>+C56*$J$15</f>
        <v>0</v>
      </c>
      <c r="K56" s="18">
        <f>+C56*$K$15</f>
        <v>0</v>
      </c>
    </row>
    <row r="57" spans="1:12" ht="15.75">
      <c r="B57" s="17"/>
      <c r="C57" s="18"/>
      <c r="D57" s="18"/>
      <c r="E57" s="18"/>
      <c r="F57" s="18"/>
      <c r="G57" s="18"/>
      <c r="H57" s="18"/>
      <c r="I57" s="18"/>
      <c r="J57" s="18"/>
      <c r="K57" s="18"/>
    </row>
    <row r="58" spans="1:12" ht="15.75">
      <c r="B58" s="17" t="s">
        <v>109</v>
      </c>
      <c r="C58" s="18">
        <f>'MTHLY-TOTAL'!E26</f>
        <v>54333</v>
      </c>
      <c r="D58" s="18">
        <f>+C58*$D$15</f>
        <v>54333</v>
      </c>
      <c r="E58" s="18">
        <f>+C58*$E$15</f>
        <v>0</v>
      </c>
      <c r="F58" s="18">
        <f>+C58*$F$15</f>
        <v>0</v>
      </c>
      <c r="G58" s="18">
        <f>+C58*$G$15</f>
        <v>0</v>
      </c>
      <c r="H58" s="18">
        <f>+C58*$H$15</f>
        <v>0</v>
      </c>
      <c r="I58" s="18">
        <f>+C58*$I$15</f>
        <v>0</v>
      </c>
      <c r="J58" s="18">
        <f>+C58*$J$15</f>
        <v>0</v>
      </c>
      <c r="K58" s="18">
        <f>+C58*$K$15</f>
        <v>0</v>
      </c>
    </row>
    <row r="59" spans="1:12" ht="15.75">
      <c r="B59" s="17" t="s">
        <v>110</v>
      </c>
      <c r="C59" s="18">
        <f>'MTHLY-TOTAL'!E27</f>
        <v>14195</v>
      </c>
      <c r="D59" s="18">
        <f>+C59*$D$15</f>
        <v>14195</v>
      </c>
      <c r="E59" s="18">
        <f>+C59*$E$15</f>
        <v>0</v>
      </c>
      <c r="F59" s="18">
        <f>+C59*$F$15</f>
        <v>0</v>
      </c>
      <c r="G59" s="18">
        <f>+C59*$G$15</f>
        <v>0</v>
      </c>
      <c r="H59" s="18">
        <f>+C59*$H$15</f>
        <v>0</v>
      </c>
      <c r="I59" s="18">
        <f>+C59*$I$15</f>
        <v>0</v>
      </c>
      <c r="J59" s="18">
        <f>+C59*$J$15</f>
        <v>0</v>
      </c>
      <c r="K59" s="18">
        <f>+C59*$K$15</f>
        <v>0</v>
      </c>
    </row>
    <row r="60" spans="1:12" ht="15.75">
      <c r="B60" s="17" t="s">
        <v>111</v>
      </c>
      <c r="C60" s="11">
        <f>+'MTHLY-TOTAL'!E28</f>
        <v>0</v>
      </c>
      <c r="D60" s="18">
        <f>+C60*$D$15</f>
        <v>0</v>
      </c>
      <c r="E60" s="18">
        <f>+C60*$E$15</f>
        <v>0</v>
      </c>
      <c r="F60" s="18">
        <f>+C60*$F$15</f>
        <v>0</v>
      </c>
      <c r="G60" s="18">
        <f>+C60*$G$15</f>
        <v>0</v>
      </c>
      <c r="H60" s="18">
        <f>+C60*$H$15</f>
        <v>0</v>
      </c>
      <c r="I60" s="18">
        <f>+C60*$I$15</f>
        <v>0</v>
      </c>
      <c r="J60" s="18">
        <f>+C60*$J$15</f>
        <v>0</v>
      </c>
      <c r="K60" s="18">
        <f>+C60*$K$15</f>
        <v>0</v>
      </c>
    </row>
    <row r="61" spans="1:12">
      <c r="D61" s="18"/>
      <c r="E61" s="18"/>
      <c r="F61" s="18"/>
      <c r="G61" s="18"/>
      <c r="H61" s="18"/>
      <c r="I61" s="18"/>
      <c r="J61" s="18"/>
      <c r="K61" s="18"/>
      <c r="L61" s="18"/>
    </row>
    <row r="62" spans="1:12" ht="15.75">
      <c r="B62" s="99" t="s">
        <v>112</v>
      </c>
    </row>
  </sheetData>
  <mergeCells count="1">
    <mergeCell ref="B8:L8"/>
  </mergeCells>
  <phoneticPr fontId="14" type="noConversion"/>
  <pageMargins left="0.75" right="0.75" top="1" bottom="1" header="0.5" footer="0.5"/>
  <pageSetup scale="36" orientation="portrait" r:id="rId1"/>
  <headerFooter alignWithMargins="0"/>
  <ignoredErrors>
    <ignoredError sqref="C15 D11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J39"/>
  <sheetViews>
    <sheetView zoomScale="70" zoomScaleNormal="70" workbookViewId="0">
      <selection activeCell="D25" sqref="D25"/>
    </sheetView>
  </sheetViews>
  <sheetFormatPr defaultColWidth="9.140625" defaultRowHeight="15"/>
  <cols>
    <col min="1" max="1" width="70.28515625" style="4" customWidth="1"/>
    <col min="2" max="4" width="19.42578125" style="4" customWidth="1"/>
    <col min="5" max="5" width="19.42578125" style="4" bestFit="1" customWidth="1"/>
    <col min="6" max="6" width="13.7109375" style="4" bestFit="1" customWidth="1"/>
    <col min="7" max="8" width="9.140625" style="4"/>
    <col min="9" max="9" width="13.5703125" style="4" bestFit="1" customWidth="1"/>
    <col min="10" max="16384" width="9.140625" style="4"/>
  </cols>
  <sheetData>
    <row r="1" spans="1:6" s="19" customFormat="1" ht="15.75">
      <c r="A1" s="67" t="str">
        <f>+'Cash Settlement'!A2</f>
        <v>COMPANY:  SOUTHLAKE SPECIALTY INSURANCE COMPANY</v>
      </c>
      <c r="B1" s="173"/>
      <c r="C1" s="173"/>
      <c r="D1" s="173"/>
      <c r="E1" s="173"/>
      <c r="F1" s="173"/>
    </row>
    <row r="2" spans="1:6" s="19" customFormat="1" ht="15.75">
      <c r="A2" s="20" t="str">
        <f>+'Cash Settlement'!A1</f>
        <v>PRODUCER:  FUTURISTIC  UNDERWRITERS LLC.</v>
      </c>
      <c r="B2" s="69"/>
      <c r="C2" s="69"/>
      <c r="D2" s="68" t="s">
        <v>44</v>
      </c>
      <c r="E2" s="21"/>
      <c r="F2" s="21"/>
    </row>
    <row r="3" spans="1:6" ht="15.75">
      <c r="A3" s="173" t="s">
        <v>113</v>
      </c>
      <c r="B3" s="22"/>
      <c r="C3" s="22"/>
      <c r="D3" s="22"/>
      <c r="E3" s="22"/>
      <c r="F3" s="22"/>
    </row>
    <row r="4" spans="1:6" ht="15.75">
      <c r="A4" s="39" t="str">
        <f>+'Cash Settlement'!B9</f>
        <v>FOR THE MONTH OF</v>
      </c>
      <c r="B4" s="44"/>
      <c r="C4" s="44">
        <f>'Cash Settlement'!C9</f>
        <v>46142</v>
      </c>
      <c r="D4" s="44"/>
    </row>
    <row r="5" spans="1:6" ht="15.75" thickBot="1"/>
    <row r="6" spans="1:6" ht="16.5" thickBot="1">
      <c r="A6" s="24" t="s">
        <v>114</v>
      </c>
      <c r="B6" s="174"/>
      <c r="C6" s="174"/>
      <c r="D6" s="174"/>
      <c r="E6" s="25"/>
    </row>
    <row r="7" spans="1:6" ht="15.75">
      <c r="A7" s="26"/>
      <c r="B7" s="27"/>
      <c r="C7" s="27"/>
      <c r="D7" s="27"/>
      <c r="E7" s="27"/>
    </row>
    <row r="8" spans="1:6" ht="15.75">
      <c r="A8" s="28" t="s">
        <v>115</v>
      </c>
      <c r="B8" s="61"/>
      <c r="C8" s="61"/>
      <c r="D8" s="61"/>
      <c r="E8" s="29"/>
    </row>
    <row r="9" spans="1:6" ht="15.75">
      <c r="A9" s="30"/>
      <c r="B9" s="29">
        <v>9</v>
      </c>
      <c r="C9" s="29">
        <v>19.399999999999999</v>
      </c>
      <c r="D9" s="29">
        <v>21.2</v>
      </c>
      <c r="E9" s="29"/>
    </row>
    <row r="10" spans="1:6" ht="15.75">
      <c r="A10" s="40" t="str">
        <f>'Cash Settlement'!A5</f>
        <v>TREATY YEAR :  5/1/2020</v>
      </c>
      <c r="B10" s="38" t="s">
        <v>116</v>
      </c>
      <c r="C10" s="38" t="s">
        <v>117</v>
      </c>
      <c r="D10" s="38" t="s">
        <v>116</v>
      </c>
      <c r="E10" s="29" t="s">
        <v>118</v>
      </c>
    </row>
    <row r="11" spans="1:6" ht="16.5" thickBot="1">
      <c r="A11" s="31"/>
      <c r="B11" s="175" t="s">
        <v>119</v>
      </c>
      <c r="C11" s="175" t="s">
        <v>120</v>
      </c>
      <c r="D11" s="175" t="s">
        <v>121</v>
      </c>
      <c r="E11" s="31"/>
    </row>
    <row r="12" spans="1:6" ht="24.75" customHeight="1" thickBot="1">
      <c r="A12" s="32" t="s">
        <v>122</v>
      </c>
      <c r="B12" s="33">
        <f>SUM('MTHLY-AL:MTHLY-WY'!B14)</f>
        <v>0</v>
      </c>
      <c r="C12" s="33">
        <f>SUM('MTHLY-AL:MTHLY-WY'!C14)</f>
        <v>0</v>
      </c>
      <c r="D12" s="33">
        <f>SUM('MTHLY-AL:MTHLY-WY'!D14)</f>
        <v>-12464.16</v>
      </c>
      <c r="E12" s="33">
        <f t="shared" ref="E12:E24" si="0">SUM(B12:D12)</f>
        <v>-12464.16</v>
      </c>
    </row>
    <row r="13" spans="1:6" ht="24.75" customHeight="1" thickBot="1">
      <c r="A13" s="34" t="s">
        <v>123</v>
      </c>
      <c r="B13" s="33">
        <f>SUM('MTHLY-AL:MTHLY-WY'!B15)</f>
        <v>0</v>
      </c>
      <c r="C13" s="33">
        <f>SUM('MTHLY-AL:MTHLY-WY'!C15)</f>
        <v>0</v>
      </c>
      <c r="D13" s="33">
        <f>SUM('MTHLY-AL:MTHLY-WY'!D15)</f>
        <v>0</v>
      </c>
      <c r="E13" s="33">
        <f t="shared" si="0"/>
        <v>0</v>
      </c>
    </row>
    <row r="14" spans="1:6" ht="24.75" customHeight="1" thickBot="1">
      <c r="A14" s="32" t="s">
        <v>124</v>
      </c>
      <c r="B14" s="33">
        <f>SUM('MTHLY-AL:MTHLY-WY'!B16)</f>
        <v>0</v>
      </c>
      <c r="C14" s="33">
        <f>SUM('MTHLY-AL:MTHLY-WY'!C16)</f>
        <v>0</v>
      </c>
      <c r="D14" s="33">
        <f>SUM('MTHLY-AL:MTHLY-WY'!D16)</f>
        <v>-12464.16</v>
      </c>
      <c r="E14" s="33">
        <f t="shared" si="0"/>
        <v>-12464.16</v>
      </c>
    </row>
    <row r="15" spans="1:6" ht="24.75" customHeight="1" thickBot="1">
      <c r="A15" s="34" t="s">
        <v>125</v>
      </c>
      <c r="B15" s="33">
        <f>SUM('MTHLY-AL:MTHLY-WY'!B17)</f>
        <v>0</v>
      </c>
      <c r="C15" s="33">
        <f>SUM('MTHLY-AL:MTHLY-WY'!C17)</f>
        <v>0</v>
      </c>
      <c r="D15" s="33">
        <f>SUM('MTHLY-AL:MTHLY-WY'!D17)</f>
        <v>0</v>
      </c>
      <c r="E15" s="33">
        <f t="shared" si="0"/>
        <v>0</v>
      </c>
    </row>
    <row r="16" spans="1:6" ht="24.75" customHeight="1" thickBot="1">
      <c r="A16" s="34" t="s">
        <v>126</v>
      </c>
      <c r="B16" s="33">
        <f>ROUND(SUM(B12:B13)*'Cash Settlement'!$P$2,2)</f>
        <v>0</v>
      </c>
      <c r="C16" s="33">
        <f>ROUND(SUM(C12:C13)*'Cash Settlement'!$P$2,2)</f>
        <v>0</v>
      </c>
      <c r="D16" s="33">
        <f>ROUND(SUM(D12:D13)*'Cash Settlement'!$P$2,2)</f>
        <v>-623.21</v>
      </c>
      <c r="E16" s="33">
        <f t="shared" si="0"/>
        <v>-623.21</v>
      </c>
    </row>
    <row r="17" spans="1:10" ht="24.75" customHeight="1" thickBot="1">
      <c r="A17" s="32" t="s">
        <v>127</v>
      </c>
      <c r="B17" s="33">
        <f>SUM('MTHLY-AL:MTHLY-WY'!B18)</f>
        <v>0</v>
      </c>
      <c r="C17" s="33">
        <f>SUM('MTHLY-AL:MTHLY-WY'!C18)</f>
        <v>0</v>
      </c>
      <c r="D17" s="33">
        <f>SUM('MTHLY-AL:MTHLY-WY'!D18)</f>
        <v>0</v>
      </c>
      <c r="E17" s="33">
        <f t="shared" si="0"/>
        <v>0</v>
      </c>
    </row>
    <row r="18" spans="1:10" ht="24.75" customHeight="1" thickBot="1">
      <c r="A18" s="32" t="s">
        <v>128</v>
      </c>
      <c r="B18" s="33">
        <f>ROUND((B12+B13)*'Cash Settlement'!$P$5,2)</f>
        <v>0</v>
      </c>
      <c r="C18" s="33">
        <f>ROUND((C12+C13)*'Cash Settlement'!$P$5,2)</f>
        <v>0</v>
      </c>
      <c r="D18" s="33">
        <f>ROUND((D12+D13)*'Cash Settlement'!$P$5,2)</f>
        <v>-49.86</v>
      </c>
      <c r="E18" s="33">
        <f t="shared" si="0"/>
        <v>-49.86</v>
      </c>
    </row>
    <row r="19" spans="1:10" ht="24.95" customHeight="1" thickBot="1">
      <c r="A19" s="32" t="s">
        <v>129</v>
      </c>
      <c r="B19" s="33">
        <f>SUM('MTHLY-AL:MTHLY-WY'!B19)</f>
        <v>0</v>
      </c>
      <c r="C19" s="33">
        <f>SUM('MTHLY-AL:MTHLY-WY'!C19)</f>
        <v>0</v>
      </c>
      <c r="D19" s="33">
        <f>SUM('MTHLY-AL:MTHLY-WY'!D19)</f>
        <v>207475.83000000002</v>
      </c>
      <c r="E19" s="33">
        <f t="shared" si="0"/>
        <v>207475.83000000002</v>
      </c>
    </row>
    <row r="20" spans="1:10" ht="24.95" customHeight="1" thickBot="1">
      <c r="A20" s="32" t="s">
        <v>130</v>
      </c>
      <c r="B20" s="33">
        <f>SUM('MTHLY-AL:MTHLY-WY'!B20)</f>
        <v>0</v>
      </c>
      <c r="C20" s="33">
        <f>SUM('MTHLY-AL:MTHLY-WY'!C20)</f>
        <v>0</v>
      </c>
      <c r="D20" s="33">
        <f>SUM('MTHLY-AL:MTHLY-WY'!D20)</f>
        <v>0</v>
      </c>
      <c r="E20" s="33">
        <f t="shared" si="0"/>
        <v>0</v>
      </c>
    </row>
    <row r="21" spans="1:10" ht="24.95" customHeight="1" thickBot="1">
      <c r="A21" s="32" t="s">
        <v>131</v>
      </c>
      <c r="B21" s="33">
        <f>SUM('MTHLY-AL:MTHLY-WY'!B21)</f>
        <v>0</v>
      </c>
      <c r="C21" s="33">
        <f>SUM('MTHLY-AL:MTHLY-WY'!C21)</f>
        <v>0</v>
      </c>
      <c r="D21" s="33">
        <f>SUM('MTHLY-AL:MTHLY-WY'!D21)</f>
        <v>-872.49119999999994</v>
      </c>
      <c r="E21" s="33">
        <f t="shared" si="0"/>
        <v>-872.49119999999994</v>
      </c>
      <c r="I21" s="160"/>
      <c r="J21" s="11"/>
    </row>
    <row r="22" spans="1:10" ht="24.95" customHeight="1" thickBot="1">
      <c r="A22" s="32" t="s">
        <v>132</v>
      </c>
      <c r="B22" s="33">
        <f>SUM('MTHLY-AL:MTHLY-WY'!B22)</f>
        <v>0</v>
      </c>
      <c r="C22" s="33">
        <f>SUM('MTHLY-AL:MTHLY-WY'!C22)</f>
        <v>0</v>
      </c>
      <c r="D22" s="33">
        <f>SUM('MTHLY-AL:MTHLY-WY'!D22)</f>
        <v>1170451.9900000005</v>
      </c>
      <c r="E22" s="33">
        <f t="shared" si="0"/>
        <v>1170451.9900000005</v>
      </c>
    </row>
    <row r="23" spans="1:10" ht="24.95" customHeight="1" thickBot="1">
      <c r="A23" s="32" t="s">
        <v>133</v>
      </c>
      <c r="B23" s="33">
        <f>SUM('MTHLY-AL:MTHLY-WY'!B23)</f>
        <v>0</v>
      </c>
      <c r="C23" s="33">
        <f>SUM('MTHLY-AL:MTHLY-WY'!C23)</f>
        <v>0</v>
      </c>
      <c r="D23" s="33">
        <f>SUM('MTHLY-AL:MTHLY-WY'!D23)</f>
        <v>0</v>
      </c>
      <c r="E23" s="33">
        <f t="shared" si="0"/>
        <v>0</v>
      </c>
    </row>
    <row r="24" spans="1:10" ht="24.95" customHeight="1" thickBot="1">
      <c r="A24" s="34" t="s">
        <v>134</v>
      </c>
      <c r="B24" s="33">
        <f>SUM('MTHLY-AL:MTHLY-WY'!B24)</f>
        <v>0</v>
      </c>
      <c r="C24" s="33">
        <f>SUM('MTHLY-AL:MTHLY-WY'!C24)</f>
        <v>0</v>
      </c>
      <c r="D24" s="33">
        <f>SUM('MTHLY-AL:MTHLY-WY'!D24)</f>
        <v>889754.56</v>
      </c>
      <c r="E24" s="33">
        <f t="shared" si="0"/>
        <v>889754.56</v>
      </c>
    </row>
    <row r="25" spans="1:10" ht="24.95" customHeight="1" thickBot="1">
      <c r="A25" s="74" t="s">
        <v>135</v>
      </c>
      <c r="B25" s="176">
        <v>0</v>
      </c>
      <c r="C25" s="176">
        <v>0</v>
      </c>
      <c r="D25" s="176">
        <f>'Policies In force'!E61</f>
        <v>283</v>
      </c>
      <c r="E25" s="176">
        <f>D25</f>
        <v>283</v>
      </c>
    </row>
    <row r="26" spans="1:10" ht="24.95" customHeight="1" thickBot="1">
      <c r="A26" s="35" t="s">
        <v>136</v>
      </c>
      <c r="B26" s="33">
        <f>SUM('MTHLY-AL:MTHLY-WY'!B25)</f>
        <v>0</v>
      </c>
      <c r="C26" s="33">
        <f>SUM('MTHLY-AL:MTHLY-WY'!C25)</f>
        <v>0</v>
      </c>
      <c r="D26" s="33">
        <f>SUM('MTHLY-AL:MTHLY-WY'!D25)</f>
        <v>54333</v>
      </c>
      <c r="E26" s="33">
        <f>SUM(B26:D26)</f>
        <v>54333</v>
      </c>
    </row>
    <row r="27" spans="1:10" ht="24.75" customHeight="1" thickBot="1">
      <c r="A27" s="32" t="s">
        <v>137</v>
      </c>
      <c r="B27" s="33">
        <f>SUM('MTHLY-AL:MTHLY-WY'!B26)</f>
        <v>0</v>
      </c>
      <c r="C27" s="33">
        <f>SUM('MTHLY-AL:MTHLY-WY'!C26)</f>
        <v>0</v>
      </c>
      <c r="D27" s="33">
        <f>SUM('MTHLY-AL:MTHLY-WY'!D26)</f>
        <v>14195</v>
      </c>
      <c r="E27" s="33">
        <f>SUM(B27:D27)</f>
        <v>14195</v>
      </c>
    </row>
    <row r="28" spans="1:10" ht="24.75" customHeight="1" thickBot="1">
      <c r="A28" s="35" t="s">
        <v>138</v>
      </c>
      <c r="B28" s="33">
        <f>SUM('MTHLY-AL:MTHLY-WY'!B27)</f>
        <v>0</v>
      </c>
      <c r="C28" s="33">
        <f>SUM('MTHLY-AL:MTHLY-WY'!C27)</f>
        <v>0</v>
      </c>
      <c r="D28" s="33">
        <f>SUM('MTHLY-AL:MTHLY-WY'!D27)</f>
        <v>0</v>
      </c>
      <c r="E28" s="33">
        <f>SUM(B28:D28)</f>
        <v>0</v>
      </c>
    </row>
    <row r="29" spans="1:10" ht="24.75" customHeight="1" thickBot="1">
      <c r="A29" s="35"/>
      <c r="B29" s="33">
        <f>SUM('MTHLY-AL:MTHLY-WY'!B28)</f>
        <v>0</v>
      </c>
      <c r="C29" s="33">
        <f>SUM('MTHLY-AL:MTHLY-WY'!C28)</f>
        <v>0</v>
      </c>
      <c r="D29" s="33">
        <f>SUM('MTHLY-AL:MTHLY-WY'!D28)</f>
        <v>0</v>
      </c>
      <c r="E29" s="33">
        <f>SUM(B29:D29)</f>
        <v>0</v>
      </c>
    </row>
    <row r="31" spans="1:10" ht="15.75">
      <c r="A31" s="36" t="s">
        <v>139</v>
      </c>
    </row>
    <row r="34" spans="1:5" ht="15.75">
      <c r="A34" s="63"/>
      <c r="B34" s="62"/>
      <c r="C34" s="62"/>
      <c r="D34" s="62"/>
      <c r="E34" s="62"/>
    </row>
    <row r="35" spans="1:5">
      <c r="B35" s="51"/>
      <c r="C35" s="51"/>
      <c r="D35" s="51"/>
      <c r="E35" s="51"/>
    </row>
    <row r="37" spans="1:5">
      <c r="A37" s="16"/>
      <c r="B37" s="51"/>
      <c r="C37" s="51"/>
      <c r="D37" s="51"/>
    </row>
    <row r="38" spans="1:5">
      <c r="A38" s="64"/>
      <c r="B38" s="51"/>
      <c r="C38" s="51"/>
      <c r="D38" s="51"/>
    </row>
    <row r="39" spans="1:5">
      <c r="A39" s="16"/>
      <c r="B39" s="51"/>
      <c r="C39" s="51"/>
      <c r="D39" s="51"/>
    </row>
  </sheetData>
  <phoneticPr fontId="14" type="noConversion"/>
  <pageMargins left="0.25" right="0.25" top="0.5" bottom="0.25" header="0.5" footer="0.5"/>
  <pageSetup scale="86" orientation="landscape" r:id="rId1"/>
  <headerFooter alignWithMargins="0">
    <oddHeader>&amp;R&amp;A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E31"/>
  <sheetViews>
    <sheetView zoomScale="75" zoomScaleNormal="8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Rates'!$B$7</f>
        <v>0</v>
      </c>
      <c r="C18" s="101">
        <f>(C14+C15)*'Tax Rates'!$B$7</f>
        <v>0</v>
      </c>
      <c r="D18" s="101">
        <f>(D14+D15)*'Tax Rates'!$B$7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orientation="landscape" r:id="rId1"/>
  <headerFooter alignWithMargins="0">
    <oddHeader>&amp;R&amp;A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E31"/>
  <sheetViews>
    <sheetView topLeftCell="A4" zoomScale="75" zoomScaleNormal="8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Rates'!$B$8</f>
        <v>0</v>
      </c>
      <c r="C18" s="101">
        <f>(C14+C15)*'Tax Rates'!$B$8</f>
        <v>0</v>
      </c>
      <c r="D18" s="101">
        <f>(D14+D15)*'Tax Rates'!$B$8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orientation="landscape" r:id="rId1"/>
  <headerFooter alignWithMargins="0">
    <oddHeader>&amp;R&amp;A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Rates'!$B$10</f>
        <v>0</v>
      </c>
      <c r="C18" s="101">
        <f>(C14+C15)*'Tax Rates'!$B$10</f>
        <v>0</v>
      </c>
      <c r="D18" s="101">
        <f>(D14+D15)*'Tax Rates'!$B$10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A1:E32"/>
  <sheetViews>
    <sheetView zoomScale="90" zoomScaleNormal="90" workbookViewId="0">
      <selection activeCell="D1" sqref="D1:D1048576"/>
    </sheetView>
  </sheetViews>
  <sheetFormatPr defaultColWidth="9.140625" defaultRowHeight="15"/>
  <cols>
    <col min="1" max="1" width="63.8554687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119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Rates'!$B$9</f>
        <v>0</v>
      </c>
      <c r="C18" s="101">
        <f>(C14+C15)*'Tax Rates'!$B$9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130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131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27205.81</v>
      </c>
      <c r="E22" s="100">
        <f t="shared" si="0"/>
        <v>27205.81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21692.960000000003</v>
      </c>
      <c r="E24" s="100">
        <f t="shared" si="0"/>
        <v>21692.960000000003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147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138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8" spans="1:5" ht="24.95" customHeight="1" thickBot="1">
      <c r="A28" s="35"/>
      <c r="B28" s="180">
        <v>0</v>
      </c>
      <c r="C28" s="180">
        <v>0</v>
      </c>
      <c r="D28" s="180">
        <v>0</v>
      </c>
      <c r="E28" s="100">
        <f t="shared" ref="E28" si="1">SUM(B28:D28)</f>
        <v>0</v>
      </c>
    </row>
    <row r="29" spans="1:5">
      <c r="C29" s="11"/>
    </row>
    <row r="30" spans="1:5" ht="15.75">
      <c r="A30" s="36" t="str">
        <f>'MTHLY-TOTAL'!A31</f>
        <v>Submitted by: ______________</v>
      </c>
    </row>
    <row r="32" spans="1:5">
      <c r="B32" s="11"/>
      <c r="C32" s="11"/>
      <c r="D32" s="11"/>
    </row>
  </sheetData>
  <phoneticPr fontId="14" type="noConversion"/>
  <pageMargins left="0.25" right="0.25" top="0.5" bottom="0.25" header="0.5" footer="0.5"/>
  <pageSetup orientation="landscape" r:id="rId1"/>
  <headerFooter alignWithMargins="0">
    <oddHeader>&amp;R&amp;A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E32"/>
  <sheetViews>
    <sheetView zoomScale="80" zoomScaleNormal="80" workbookViewId="0">
      <selection activeCell="D1" sqref="D1:D1048576"/>
    </sheetView>
  </sheetViews>
  <sheetFormatPr defaultColWidth="9.140625" defaultRowHeight="15"/>
  <cols>
    <col min="1" max="1" width="72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119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-10318.739999999998</v>
      </c>
      <c r="E14" s="100">
        <f t="shared" ref="E14:E27" si="0">SUM(B14:D14)</f>
        <v>-10318.739999999998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-10318.739999999998</v>
      </c>
      <c r="E16" s="100">
        <f t="shared" si="0"/>
        <v>-10318.739999999998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Rates'!$B$11</f>
        <v>0</v>
      </c>
      <c r="C18" s="101">
        <f>(C14+C15)*'Tax Rates'!$B$11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80975.83</v>
      </c>
      <c r="E19" s="100">
        <f t="shared" si="0"/>
        <v>80975.83</v>
      </c>
    </row>
    <row r="20" spans="1:5" ht="24.95" customHeight="1" thickBot="1">
      <c r="A20" s="32" t="s">
        <v>130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131</v>
      </c>
      <c r="B21" s="180">
        <v>0</v>
      </c>
      <c r="C21" s="180">
        <v>0</v>
      </c>
      <c r="D21" s="180">
        <v>-722.31179999999995</v>
      </c>
      <c r="E21" s="100">
        <f t="shared" si="0"/>
        <v>-722.31179999999995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708172.81000000017</v>
      </c>
      <c r="E22" s="100">
        <f t="shared" si="0"/>
        <v>708172.81000000017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510480.07</v>
      </c>
      <c r="E24" s="100">
        <f t="shared" si="0"/>
        <v>510480.07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17500</v>
      </c>
      <c r="E25" s="100">
        <f t="shared" si="0"/>
        <v>17500</v>
      </c>
    </row>
    <row r="26" spans="1:5" ht="24.95" customHeight="1" thickBot="1">
      <c r="A26" s="32" t="s">
        <v>137</v>
      </c>
      <c r="B26" s="180">
        <v>0</v>
      </c>
      <c r="C26" s="180">
        <v>0</v>
      </c>
      <c r="D26" s="180">
        <v>5000</v>
      </c>
      <c r="E26" s="100">
        <f t="shared" si="0"/>
        <v>5000</v>
      </c>
    </row>
    <row r="27" spans="1:5" ht="24.95" customHeight="1" thickBot="1">
      <c r="A27" s="35" t="s">
        <v>138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8" spans="1:5" ht="24.95" customHeight="1" thickBot="1">
      <c r="A28" s="35"/>
      <c r="B28" s="180">
        <v>0</v>
      </c>
      <c r="C28" s="180">
        <v>0</v>
      </c>
      <c r="D28" s="180">
        <v>0</v>
      </c>
      <c r="E28" s="100">
        <f t="shared" ref="E28" si="1">SUM(B28:D28)</f>
        <v>0</v>
      </c>
    </row>
    <row r="29" spans="1:5">
      <c r="C29" s="11"/>
    </row>
    <row r="30" spans="1:5" ht="15.75">
      <c r="A30" s="36" t="str">
        <f>'MTHLY-TOTAL'!A31</f>
        <v>Submitted by: ______________</v>
      </c>
    </row>
    <row r="32" spans="1:5">
      <c r="B32" s="11"/>
      <c r="C32" s="11"/>
      <c r="D32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Rates'!$B$12</f>
        <v>0</v>
      </c>
      <c r="C18" s="101">
        <f>(C14+C15)*'Tax Rates'!$B$12</f>
        <v>0</v>
      </c>
      <c r="D18" s="101">
        <f>(D14+D15)*'Tax Rates'!$B$12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E31"/>
  <sheetViews>
    <sheetView topLeftCell="A5" zoomScale="60" zoomScaleNormal="60" workbookViewId="0">
      <pane xSplit="1" ySplit="9" topLeftCell="B14" activePane="bottomRight" state="frozen"/>
      <selection pane="bottomRight" activeCell="E23" sqref="E23"/>
      <selection pane="bottomLeft" activeCell="C38" sqref="C38"/>
      <selection pane="topRight"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Rates'!$B$13</f>
        <v>0</v>
      </c>
      <c r="C18" s="101">
        <f>(C14+C15)*'Tax Rates'!$B$13</f>
        <v>0</v>
      </c>
      <c r="D18" s="101">
        <f>(D14+D15)*'Tax Rates'!$B$13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Rates'!$B$14</f>
        <v>0</v>
      </c>
      <c r="C18" s="101">
        <f>(C14+C15)*'Tax Rates'!$B$14</f>
        <v>0</v>
      </c>
      <c r="D18" s="101">
        <f>(D14+D15)*'Tax Rates'!$B$14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Rates'!$B$15</f>
        <v>0</v>
      </c>
      <c r="C18" s="101">
        <f>(C14+C15)*'Tax Rates'!$B$15</f>
        <v>0</v>
      </c>
      <c r="D18" s="101">
        <f>(D14+D15)*'Tax Rates'!$B$15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  <c r="E29" s="4" t="s">
        <v>148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Rates'!$B$16</f>
        <v>0</v>
      </c>
      <c r="C18" s="101">
        <f>(C14+C15)*'Tax Rates'!$B$16</f>
        <v>0</v>
      </c>
      <c r="D18" s="101">
        <f>(D14+D15)*'Tax Rates'!$B$16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  <c r="E29" s="4" t="s">
        <v>148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119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-1261.77</v>
      </c>
      <c r="E14" s="100">
        <f t="shared" ref="E14:E27" si="0">SUM(B14:D14)</f>
        <v>-1261.77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-1261.77</v>
      </c>
      <c r="E16" s="100">
        <f t="shared" si="0"/>
        <v>-1261.77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Rates'!$B$17</f>
        <v>0</v>
      </c>
      <c r="C18" s="101">
        <f>(C14+C15)*'Tax Rates'!$B$17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-88.323900000000009</v>
      </c>
      <c r="E21" s="100">
        <f t="shared" si="0"/>
        <v>-88.323900000000009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5669.34</v>
      </c>
      <c r="E22" s="100">
        <f t="shared" si="0"/>
        <v>5669.34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3466.1099999999997</v>
      </c>
      <c r="E24" s="100">
        <f t="shared" si="0"/>
        <v>3466.1099999999997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Rates'!$B$18</f>
        <v>0</v>
      </c>
      <c r="C18" s="101">
        <f>(C14+C15)*'Tax Rates'!$B$18</f>
        <v>0</v>
      </c>
      <c r="D18" s="101">
        <f>(D14+D15)*'Tax Rates'!$B$18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  <pageSetUpPr fitToPage="1"/>
  </sheetPr>
  <dimension ref="A1:E31"/>
  <sheetViews>
    <sheetView topLeftCell="A5"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Rates'!$B$22</f>
        <v>0</v>
      </c>
      <c r="C18" s="101">
        <f>(C14+C15)*'Tax Rates'!$B$22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2347.66</v>
      </c>
      <c r="E22" s="100">
        <f t="shared" si="0"/>
        <v>2347.66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3006.98</v>
      </c>
      <c r="E24" s="100">
        <f t="shared" si="0"/>
        <v>3006.98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  <pageSetUpPr fitToPage="1"/>
  </sheetPr>
  <dimension ref="A1:O33"/>
  <sheetViews>
    <sheetView zoomScale="90" zoomScaleNormal="90" workbookViewId="0">
      <selection activeCell="C1" sqref="C1:C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6" width="9.140625" style="4"/>
    <col min="7" max="7" width="13.5703125" style="4" bestFit="1" customWidth="1"/>
    <col min="8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 t="s">
        <v>149</v>
      </c>
    </row>
    <row r="5" spans="1:5" ht="16.5" thickBot="1">
      <c r="A5" s="23"/>
    </row>
    <row r="6" spans="1:5" ht="16.5" thickBot="1">
      <c r="A6" s="37" t="s">
        <v>140</v>
      </c>
      <c r="B6" s="177"/>
      <c r="C6" s="177" t="s">
        <v>150</v>
      </c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1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1">
        <v>0</v>
      </c>
      <c r="D16" s="180">
        <v>0</v>
      </c>
      <c r="E16" s="100">
        <f t="shared" si="0"/>
        <v>0</v>
      </c>
    </row>
    <row r="17" spans="1:15" ht="24.95" customHeight="1" thickBot="1">
      <c r="A17" s="34" t="s">
        <v>125</v>
      </c>
      <c r="B17" s="180">
        <v>0</v>
      </c>
      <c r="C17" s="180"/>
      <c r="D17" s="180">
        <v>0</v>
      </c>
      <c r="E17" s="100">
        <f t="shared" si="0"/>
        <v>0</v>
      </c>
    </row>
    <row r="18" spans="1:15" ht="24.95" customHeight="1" thickBot="1">
      <c r="A18" s="32" t="s">
        <v>127</v>
      </c>
      <c r="B18" s="101">
        <f>(B14+B15)*'Tax Rates'!$B$20</f>
        <v>0</v>
      </c>
      <c r="C18" s="101"/>
      <c r="D18" s="101">
        <f>(D14+D15)*'Tax Rates'!$B$20</f>
        <v>0</v>
      </c>
      <c r="E18" s="100">
        <f t="shared" si="0"/>
        <v>0</v>
      </c>
    </row>
    <row r="19" spans="1:15" ht="24.95" customHeight="1" thickBot="1">
      <c r="A19" s="32" t="s">
        <v>129</v>
      </c>
      <c r="B19" s="180">
        <v>0</v>
      </c>
      <c r="C19" s="182">
        <v>0</v>
      </c>
      <c r="D19" s="180">
        <v>0</v>
      </c>
      <c r="E19" s="100">
        <f t="shared" si="0"/>
        <v>0</v>
      </c>
    </row>
    <row r="20" spans="1:15" ht="24.95" customHeight="1" thickBot="1">
      <c r="A20" s="32" t="s">
        <v>142</v>
      </c>
      <c r="B20" s="180">
        <v>0</v>
      </c>
      <c r="C20" s="182">
        <v>0</v>
      </c>
      <c r="D20" s="180">
        <v>0</v>
      </c>
      <c r="E20" s="100">
        <f t="shared" si="0"/>
        <v>0</v>
      </c>
      <c r="O20" s="4" t="s">
        <v>151</v>
      </c>
    </row>
    <row r="21" spans="1:15" ht="24.95" customHeight="1" thickBot="1">
      <c r="A21" s="32" t="s">
        <v>152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15" ht="24.95" customHeight="1" thickBot="1">
      <c r="A22" s="32" t="s">
        <v>132</v>
      </c>
      <c r="B22" s="180">
        <v>0</v>
      </c>
      <c r="C22" s="181">
        <v>0</v>
      </c>
      <c r="D22" s="180">
        <v>0</v>
      </c>
      <c r="E22" s="100">
        <f t="shared" si="0"/>
        <v>0</v>
      </c>
    </row>
    <row r="23" spans="1:1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15" ht="24.95" customHeight="1" thickBot="1">
      <c r="A24" s="34" t="s">
        <v>144</v>
      </c>
      <c r="B24" s="180">
        <v>0</v>
      </c>
      <c r="C24" s="181">
        <v>0</v>
      </c>
      <c r="D24" s="180">
        <v>0</v>
      </c>
      <c r="E24" s="100">
        <f t="shared" si="0"/>
        <v>0</v>
      </c>
    </row>
    <row r="25" spans="1:15" ht="24.95" customHeight="1" thickBot="1">
      <c r="A25" s="35" t="s">
        <v>136</v>
      </c>
      <c r="B25" s="180">
        <v>0</v>
      </c>
      <c r="C25" s="182">
        <v>0</v>
      </c>
      <c r="D25" s="180">
        <v>0</v>
      </c>
      <c r="E25" s="100">
        <f t="shared" si="0"/>
        <v>0</v>
      </c>
    </row>
    <row r="26" spans="1:15" ht="24.95" customHeight="1" thickBot="1">
      <c r="A26" s="32" t="s">
        <v>145</v>
      </c>
      <c r="B26" s="180">
        <v>0</v>
      </c>
      <c r="C26" s="182">
        <v>0</v>
      </c>
      <c r="D26" s="180">
        <v>0</v>
      </c>
      <c r="E26" s="100">
        <f t="shared" si="0"/>
        <v>0</v>
      </c>
    </row>
    <row r="27" spans="1:15" ht="24.95" customHeight="1" thickBot="1">
      <c r="A27" s="35" t="s">
        <v>146</v>
      </c>
      <c r="B27" s="180">
        <v>0</v>
      </c>
      <c r="C27" s="180"/>
      <c r="D27" s="180">
        <v>0</v>
      </c>
      <c r="E27" s="100">
        <f t="shared" si="0"/>
        <v>0</v>
      </c>
    </row>
    <row r="28" spans="1:15">
      <c r="C28" s="4">
        <v>0</v>
      </c>
    </row>
    <row r="29" spans="1:15" ht="15.75">
      <c r="A29" s="36" t="str">
        <f>'MTHLY-TOTAL'!A31</f>
        <v>Submitted by: ______________</v>
      </c>
    </row>
    <row r="31" spans="1:15">
      <c r="B31" s="11"/>
      <c r="C31" s="11"/>
      <c r="D31" s="11"/>
    </row>
    <row r="33" spans="7:7">
      <c r="G33" s="158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Rates'!$B$19</f>
        <v>0</v>
      </c>
      <c r="C18" s="101">
        <f>(C14+C15)*'Tax Rates'!$B$19</f>
        <v>0</v>
      </c>
      <c r="D18" s="101">
        <f>(D14+D15)*'Tax Rates'!$B$19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E31"/>
  <sheetViews>
    <sheetView topLeftCell="A5"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119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Rates'!$B$21</f>
        <v>0</v>
      </c>
      <c r="C18" s="101">
        <f>(C14+C15)*'Tax Rates'!$B$21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57500</v>
      </c>
      <c r="E19" s="100">
        <f t="shared" si="0"/>
        <v>57500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21781.15</v>
      </c>
      <c r="E22" s="100">
        <f t="shared" si="0"/>
        <v>21781.15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25663.96</v>
      </c>
      <c r="E24" s="100">
        <f t="shared" si="0"/>
        <v>25663.96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Rates'!$B$23</f>
        <v>0</v>
      </c>
      <c r="C18" s="101">
        <f>(C14+C15)*'Tax Rates'!$B$23</f>
        <v>0</v>
      </c>
      <c r="D18" s="101">
        <f>(D14+D15)*'Tax Rates'!$B$23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E31"/>
  <sheetViews>
    <sheetView zoomScale="75" zoomScaleNormal="8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Rates'!$B$24</f>
        <v>0</v>
      </c>
      <c r="C18" s="101">
        <f>(C14+C15)*'Tax Rates'!$B$24</f>
        <v>0</v>
      </c>
      <c r="D18" s="101">
        <f>(D14+D15)*'Tax Rates'!$B$24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orientation="landscape" r:id="rId1"/>
  <headerFooter alignWithMargins="0">
    <oddHeader>&amp;R&amp;A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Rates'!$B$25</f>
        <v>0</v>
      </c>
      <c r="C18" s="101">
        <f>(C14+C15)*'Tax Rates'!$B$25</f>
        <v>0</v>
      </c>
      <c r="D18" s="101">
        <f>(D14+D15)*'Tax Rates'!$B$25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60">
        <v>19.3</v>
      </c>
      <c r="C11" s="60">
        <v>19.399999999999999</v>
      </c>
      <c r="D11" s="60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Rates'!$B$28</f>
        <v>0</v>
      </c>
      <c r="C18" s="101">
        <f>(C14+C15)*'Tax Rates'!$B$28</f>
        <v>0</v>
      </c>
      <c r="D18" s="101">
        <f>(D14+D15)*'Tax Rates'!$B$28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Rates'!$B$27</f>
        <v>0</v>
      </c>
      <c r="C18" s="101">
        <f>(C14+C15)*'Tax Rates'!$B$27</f>
        <v>0</v>
      </c>
      <c r="D18" s="101">
        <f>(D14+D15)*'Tax Rates'!$B$27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Rates'!$B$26</f>
        <v>0</v>
      </c>
      <c r="C18" s="101">
        <f>(C14+C15)*'Tax Rates'!$B$26</f>
        <v>0</v>
      </c>
      <c r="D18" s="101">
        <f>(D14+D15)*'Tax Rates'!$B$26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F0"/>
    <pageSetUpPr fitToPage="1"/>
  </sheetPr>
  <dimension ref="A1:E31"/>
  <sheetViews>
    <sheetView topLeftCell="A5"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119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Rates'!$B$29</f>
        <v>0</v>
      </c>
      <c r="C18" s="101">
        <f>(C14+C15)*'Tax Rates'!$B$29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18270.37</v>
      </c>
      <c r="E22" s="100">
        <f t="shared" si="0"/>
        <v>18270.37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2775.66</v>
      </c>
      <c r="E24" s="100">
        <f t="shared" si="0"/>
        <v>2775.66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Rates'!$B$30</f>
        <v>0</v>
      </c>
      <c r="C18" s="101">
        <f>(C14+C15)*'Tax Rates'!$B$30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16329.93</v>
      </c>
      <c r="E22" s="100">
        <f t="shared" si="0"/>
        <v>16329.93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12758.8</v>
      </c>
      <c r="E24" s="100">
        <f t="shared" si="0"/>
        <v>12758.8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Rates'!$B$32</f>
        <v>0</v>
      </c>
      <c r="C18" s="101">
        <f>(C14+C15)*'Tax Rates'!$B$32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21815.8</v>
      </c>
      <c r="E22" s="100">
        <f t="shared" si="0"/>
        <v>21815.8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21189.47</v>
      </c>
      <c r="E24" s="100">
        <f t="shared" si="0"/>
        <v>21189.47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Rates'!$B$31</f>
        <v>0</v>
      </c>
      <c r="C18" s="101">
        <f>(C14+C15)*'Tax Rates'!$B$31</f>
        <v>0</v>
      </c>
      <c r="D18" s="101">
        <f>(D14+D15)*'Tax Rates'!$B$31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Rates'!$B$33</f>
        <v>0</v>
      </c>
      <c r="C18" s="101">
        <f>(C14+C15)*'Tax Rates'!$B$33</f>
        <v>0</v>
      </c>
      <c r="D18" s="101">
        <f>(D14+D15)*'Tax Rates'!$B$33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Rates'!$B$40</f>
        <v>0</v>
      </c>
      <c r="C18" s="101">
        <f>(C14+C15)*'Tax Rates'!$B$40</f>
        <v>0</v>
      </c>
      <c r="D18" s="101">
        <f>(D14+D15)*'Tax Rates'!$B$40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Rates'!$B$41</f>
        <v>0</v>
      </c>
      <c r="C18" s="101">
        <f>(C14+C15)*'Tax Rates'!$B$41</f>
        <v>0</v>
      </c>
      <c r="D18" s="101">
        <f>(D14+D15)*'Tax Rates'!$B$41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Rates'!$B$36</f>
        <v>0</v>
      </c>
      <c r="C18" s="101">
        <f>(C14+C15)*'Tax Rates'!$B$36</f>
        <v>0</v>
      </c>
      <c r="D18" s="101">
        <f>(D14+D15)*'Tax Rates'!$B$36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119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Rates'!$B$37</f>
        <v>0</v>
      </c>
      <c r="C18" s="101">
        <f>(C14+C15)*'Tax Rates'!$B$37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66446.820000000007</v>
      </c>
      <c r="E22" s="100">
        <f t="shared" si="0"/>
        <v>66446.820000000007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49223.95</v>
      </c>
      <c r="E24" s="100">
        <f t="shared" si="0"/>
        <v>49223.95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Rates'!$B$38</f>
        <v>0</v>
      </c>
      <c r="C18" s="101">
        <f>(C14+C15)*'Tax Rates'!$B$38</f>
        <v>0</v>
      </c>
      <c r="D18" s="101">
        <f>(D14+D15)*'Tax Rates'!$B$38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Rates'!$B$34</f>
        <v>0</v>
      </c>
      <c r="C18" s="101">
        <f>(C14+C15)*'Tax Rates'!$B$34</f>
        <v>0</v>
      </c>
      <c r="D18" s="101">
        <f>(D14+D15)*'Tax Rates'!$B$34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Rates'!$B$35</f>
        <v>0</v>
      </c>
      <c r="C18" s="101">
        <f>(C14+C15)*'Tax Rates'!$B$35</f>
        <v>0</v>
      </c>
      <c r="D18" s="101">
        <f>(D14+D15)*'Tax Rates'!$B$35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Rates'!$B$39</f>
        <v>0</v>
      </c>
      <c r="C18" s="101">
        <f>(C14+C15)*'Tax Rates'!$B$39</f>
        <v>0</v>
      </c>
      <c r="D18" s="101">
        <f>(D14+D15)*'Tax Rates'!$B$39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Rates'!$B$42</f>
        <v>0</v>
      </c>
      <c r="C18" s="101">
        <f>(C14+C15)*'Tax Rates'!$B$42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8271.5300000000007</v>
      </c>
      <c r="E22" s="100">
        <f t="shared" si="0"/>
        <v>8271.5300000000007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9398.5499999999993</v>
      </c>
      <c r="E24" s="100">
        <f t="shared" si="0"/>
        <v>9398.5499999999993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F0"/>
    <pageSetUpPr fitToPage="1"/>
  </sheetPr>
  <dimension ref="A1:E31"/>
  <sheetViews>
    <sheetView zoomScale="75" workbookViewId="0">
      <selection activeCell="S22" sqref="S22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Rates'!$B$43</f>
        <v>0</v>
      </c>
      <c r="C18" s="101">
        <f>(C14+C15)*'Tax Rates'!$B$43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Rates'!$B$44</f>
        <v>0</v>
      </c>
      <c r="C18" s="101">
        <f>(C14+C15)*'Tax Rates'!$B$44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1217.6300000000001</v>
      </c>
      <c r="E22" s="100">
        <f t="shared" si="0"/>
        <v>1217.6300000000001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1438.87</v>
      </c>
      <c r="E24" s="100">
        <f t="shared" si="0"/>
        <v>1438.87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Rates'!$B$45</f>
        <v>0</v>
      </c>
      <c r="C18" s="101">
        <f>(C14+C15)*'Tax Rates'!$B$45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52533.409999999996</v>
      </c>
      <c r="E22" s="100">
        <f t="shared" si="0"/>
        <v>52533.409999999996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49151.32</v>
      </c>
      <c r="E24" s="100">
        <f t="shared" si="0"/>
        <v>49151.32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3">
        <v>0</v>
      </c>
      <c r="C14" s="183">
        <v>0</v>
      </c>
      <c r="D14" s="183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3">
        <v>0</v>
      </c>
      <c r="C16" s="183">
        <v>0</v>
      </c>
      <c r="D16" s="183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Rates'!$B$46</f>
        <v>0</v>
      </c>
      <c r="C18" s="101">
        <f>(C14+C15)*'Tax Rates'!$B$46</f>
        <v>0</v>
      </c>
      <c r="D18" s="101">
        <f>(D14+D15)*'Tax Rates'!$B$46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Rates'!$B$47</f>
        <v>0</v>
      </c>
      <c r="C18" s="101">
        <f>(C14+C15)*'Tax Rates'!$B$47</f>
        <v>0</v>
      </c>
      <c r="D18" s="101">
        <f>(D14+D15)*'Tax Rates'!$B$47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Rates'!$B$48</f>
        <v>0</v>
      </c>
      <c r="C18" s="101">
        <f>(C14+C15)*'Tax Rates'!$B$48</f>
        <v>0</v>
      </c>
      <c r="D18" s="101">
        <f>(D14+D15)*'Tax Rates'!$B$48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Rates'!$B$49</f>
        <v>0</v>
      </c>
      <c r="C18" s="101">
        <f>(C14+C15)*'Tax Rates'!$B$49</f>
        <v>0</v>
      </c>
      <c r="D18" s="101">
        <f>(D14+D15)*'Tax Rates'!$B$49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 t="s">
        <v>153</v>
      </c>
    </row>
    <row r="5" spans="1:5" ht="16.5" thickBot="1">
      <c r="A5" s="23"/>
    </row>
    <row r="6" spans="1:5" ht="16.5" thickBot="1">
      <c r="A6" s="37" t="s">
        <v>140</v>
      </c>
      <c r="B6" s="177"/>
      <c r="C6" s="177" t="s">
        <v>154</v>
      </c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119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2202.2999999999997</v>
      </c>
      <c r="E14" s="100">
        <f t="shared" ref="E14:E27" si="0">SUM(B14:D14)</f>
        <v>2202.2999999999997</v>
      </c>
    </row>
    <row r="15" spans="1:5" ht="24.75" customHeight="1" thickBot="1">
      <c r="A15" s="34" t="s">
        <v>123</v>
      </c>
      <c r="B15" s="180">
        <v>0</v>
      </c>
      <c r="C15" s="180"/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2202.2999999999997</v>
      </c>
      <c r="E16" s="100">
        <f t="shared" si="0"/>
        <v>2202.2999999999997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Rates'!$B$50</f>
        <v>0</v>
      </c>
      <c r="C18" s="101"/>
      <c r="D18" s="101"/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69000</v>
      </c>
      <c r="E19" s="100">
        <f t="shared" si="0"/>
        <v>69000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154.161</v>
      </c>
      <c r="E21" s="100">
        <f t="shared" si="0"/>
        <v>154.161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169293.15999999997</v>
      </c>
      <c r="E22" s="100">
        <f t="shared" si="0"/>
        <v>169293.15999999997</v>
      </c>
    </row>
    <row r="23" spans="1:5" ht="24.95" customHeight="1" thickBot="1">
      <c r="A23" s="32" t="s">
        <v>133</v>
      </c>
      <c r="B23" s="180">
        <v>0</v>
      </c>
      <c r="C23" s="180"/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142071.06</v>
      </c>
      <c r="E24" s="100">
        <f t="shared" si="0"/>
        <v>142071.06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5000</v>
      </c>
      <c r="E25" s="100">
        <f t="shared" si="0"/>
        <v>5000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4195</v>
      </c>
      <c r="E26" s="100">
        <f t="shared" si="0"/>
        <v>4195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Rates'!$B$51</f>
        <v>0</v>
      </c>
      <c r="C18" s="101">
        <f>(C14+C15)*'Tax Rates'!$B$51</f>
        <v>0</v>
      </c>
      <c r="D18" s="101">
        <f>(D14+D15)*'Tax Rates'!$B$51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-1574.95</v>
      </c>
      <c r="E14" s="100">
        <f t="shared" ref="E14:E27" si="0">SUM(B14:D14)</f>
        <v>-1574.95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-1574.95</v>
      </c>
      <c r="E16" s="100">
        <f t="shared" si="0"/>
        <v>-1574.95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Rates'!$B$53</f>
        <v>0</v>
      </c>
      <c r="C18" s="101">
        <f>(C14+C15)*'Tax Rates'!$B$53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-110.24650000000001</v>
      </c>
      <c r="E21" s="100">
        <f t="shared" si="0"/>
        <v>-110.24650000000001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44001.62</v>
      </c>
      <c r="E22" s="100">
        <f t="shared" si="0"/>
        <v>44001.62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34011.53</v>
      </c>
      <c r="E24" s="100">
        <f t="shared" si="0"/>
        <v>34011.53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21833</v>
      </c>
      <c r="E25" s="100">
        <f t="shared" si="0"/>
        <v>21833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2500</v>
      </c>
      <c r="E26" s="100">
        <f t="shared" si="0"/>
        <v>2500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Rates'!$B$52</f>
        <v>0</v>
      </c>
      <c r="C18" s="101">
        <f>(C14+C15)*'Tax Rates'!$B$52</f>
        <v>0</v>
      </c>
      <c r="D18" s="101">
        <f>(D14+D15)*'Tax Rates'!$B$52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-1511</v>
      </c>
      <c r="E14" s="100">
        <f t="shared" ref="E14:E27" si="0">SUM(B14:D14)</f>
        <v>-1511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-1511</v>
      </c>
      <c r="E16" s="100">
        <f t="shared" si="0"/>
        <v>-1511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Rates'!$B$54</f>
        <v>0</v>
      </c>
      <c r="C18" s="101">
        <f>(C14+C15)*'Tax Rates'!$B$54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-105.77000000000001</v>
      </c>
      <c r="E21" s="100">
        <f t="shared" si="0"/>
        <v>-105.77000000000001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7094.95</v>
      </c>
      <c r="E22" s="100">
        <f t="shared" si="0"/>
        <v>7094.95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3425.2700000000004</v>
      </c>
      <c r="E24" s="100">
        <f t="shared" si="0"/>
        <v>3425.2700000000004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10000</v>
      </c>
      <c r="E25" s="100">
        <f t="shared" si="0"/>
        <v>10000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2500</v>
      </c>
      <c r="E26" s="100">
        <f t="shared" si="0"/>
        <v>2500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F0"/>
    <pageSetUpPr fitToPage="1"/>
  </sheetPr>
  <dimension ref="A1:E31"/>
  <sheetViews>
    <sheetView zoomScale="75" workbookViewId="0">
      <selection activeCell="N22" sqref="N22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Rates'!$B$56</f>
        <v>0</v>
      </c>
      <c r="C18" s="101">
        <f>(C14+C15)*'Tax Rates'!$B$56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Rates'!$B$55</f>
        <v>0</v>
      </c>
      <c r="C18" s="101">
        <f>(C14+C15)*'Tax Rates'!$B$55</f>
        <v>0</v>
      </c>
      <c r="D18" s="101">
        <f>(D14+D15)*'Tax Rates'!$B$55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F0"/>
    <pageSetUpPr fitToPage="1"/>
  </sheetPr>
  <dimension ref="A1:E31"/>
  <sheetViews>
    <sheetView topLeftCell="A6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73"/>
      <c r="C1" s="173"/>
      <c r="D1" s="173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73" t="s">
        <v>113</v>
      </c>
      <c r="B3" s="22"/>
      <c r="C3" s="173"/>
      <c r="D3" s="22"/>
    </row>
    <row r="4" spans="1:5" ht="15.75">
      <c r="A4" s="23" t="s">
        <v>55</v>
      </c>
      <c r="C4" s="44">
        <f>+'Cash Settlement'!C9</f>
        <v>46142</v>
      </c>
    </row>
    <row r="5" spans="1:5" ht="16.5" thickBot="1">
      <c r="A5" s="23"/>
    </row>
    <row r="6" spans="1:5" ht="16.5" thickBot="1">
      <c r="A6" s="37" t="s">
        <v>140</v>
      </c>
      <c r="B6" s="177"/>
      <c r="C6" s="177"/>
      <c r="D6" s="177"/>
      <c r="E6" s="27"/>
    </row>
    <row r="7" spans="1:5" ht="15.75">
      <c r="A7" s="59"/>
      <c r="B7" s="178"/>
      <c r="C7" s="178"/>
      <c r="D7" s="178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79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75" t="s">
        <v>141</v>
      </c>
      <c r="C13" s="175" t="s">
        <v>120</v>
      </c>
      <c r="D13" s="175" t="s">
        <v>121</v>
      </c>
      <c r="E13" s="31"/>
    </row>
    <row r="14" spans="1:5" ht="24.75" customHeight="1" thickBot="1">
      <c r="A14" s="32" t="s">
        <v>122</v>
      </c>
      <c r="B14" s="180">
        <v>0</v>
      </c>
      <c r="C14" s="180">
        <v>0</v>
      </c>
      <c r="D14" s="180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80">
        <v>0</v>
      </c>
      <c r="C15" s="180">
        <v>0</v>
      </c>
      <c r="D15" s="180">
        <v>0</v>
      </c>
      <c r="E15" s="100">
        <f t="shared" si="0"/>
        <v>0</v>
      </c>
    </row>
    <row r="16" spans="1:5" ht="24.95" customHeight="1" thickBot="1">
      <c r="A16" s="32" t="s">
        <v>124</v>
      </c>
      <c r="B16" s="180">
        <v>0</v>
      </c>
      <c r="C16" s="180">
        <v>0</v>
      </c>
      <c r="D16" s="180">
        <v>0</v>
      </c>
      <c r="E16" s="100">
        <f t="shared" si="0"/>
        <v>0</v>
      </c>
    </row>
    <row r="17" spans="1:5" ht="24.95" customHeight="1" thickBot="1">
      <c r="A17" s="34" t="s">
        <v>125</v>
      </c>
      <c r="B17" s="180">
        <v>0</v>
      </c>
      <c r="C17" s="180">
        <v>0</v>
      </c>
      <c r="D17" s="180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Rates'!$B$57</f>
        <v>0</v>
      </c>
      <c r="C18" s="101">
        <f>(C14+C15)*'Tax Rates'!$B$57</f>
        <v>0</v>
      </c>
      <c r="D18" s="101">
        <f>(D14+D15)*'Tax Rates'!$B$57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80">
        <v>0</v>
      </c>
      <c r="C19" s="180">
        <v>0</v>
      </c>
      <c r="D19" s="180">
        <v>0</v>
      </c>
      <c r="E19" s="100">
        <f t="shared" si="0"/>
        <v>0</v>
      </c>
    </row>
    <row r="20" spans="1:5" ht="24.95" customHeight="1" thickBot="1">
      <c r="A20" s="32" t="s">
        <v>142</v>
      </c>
      <c r="B20" s="180">
        <v>0</v>
      </c>
      <c r="C20" s="180">
        <v>0</v>
      </c>
      <c r="D20" s="180">
        <v>0</v>
      </c>
      <c r="E20" s="100">
        <f t="shared" si="0"/>
        <v>0</v>
      </c>
    </row>
    <row r="21" spans="1:5" ht="24.95" customHeight="1" thickBot="1">
      <c r="A21" s="32" t="s">
        <v>143</v>
      </c>
      <c r="B21" s="180">
        <v>0</v>
      </c>
      <c r="C21" s="180">
        <v>0</v>
      </c>
      <c r="D21" s="180">
        <v>0</v>
      </c>
      <c r="E21" s="100">
        <f t="shared" si="0"/>
        <v>0</v>
      </c>
    </row>
    <row r="22" spans="1:5" ht="24.95" customHeight="1" thickBot="1">
      <c r="A22" s="32" t="s">
        <v>132</v>
      </c>
      <c r="B22" s="180">
        <v>0</v>
      </c>
      <c r="C22" s="180">
        <v>0</v>
      </c>
      <c r="D22" s="180">
        <v>0</v>
      </c>
      <c r="E22" s="100">
        <f t="shared" si="0"/>
        <v>0</v>
      </c>
    </row>
    <row r="23" spans="1:5" ht="24.95" customHeight="1" thickBot="1">
      <c r="A23" s="32" t="s">
        <v>133</v>
      </c>
      <c r="B23" s="180">
        <v>0</v>
      </c>
      <c r="C23" s="180">
        <v>0</v>
      </c>
      <c r="D23" s="180">
        <v>0</v>
      </c>
      <c r="E23" s="100">
        <f t="shared" si="0"/>
        <v>0</v>
      </c>
    </row>
    <row r="24" spans="1:5" ht="24.95" customHeight="1" thickBot="1">
      <c r="A24" s="34" t="s">
        <v>144</v>
      </c>
      <c r="B24" s="180">
        <v>0</v>
      </c>
      <c r="C24" s="180">
        <v>0</v>
      </c>
      <c r="D24" s="180">
        <v>0</v>
      </c>
      <c r="E24" s="100">
        <f t="shared" si="0"/>
        <v>0</v>
      </c>
    </row>
    <row r="25" spans="1:5" ht="24.95" customHeight="1" thickBot="1">
      <c r="A25" s="35" t="s">
        <v>136</v>
      </c>
      <c r="B25" s="180">
        <v>0</v>
      </c>
      <c r="C25" s="180">
        <v>0</v>
      </c>
      <c r="D25" s="180">
        <v>0</v>
      </c>
      <c r="E25" s="100">
        <f t="shared" si="0"/>
        <v>0</v>
      </c>
    </row>
    <row r="26" spans="1:5" ht="24.95" customHeight="1" thickBot="1">
      <c r="A26" s="32" t="s">
        <v>145</v>
      </c>
      <c r="B26" s="180">
        <v>0</v>
      </c>
      <c r="C26" s="180">
        <v>0</v>
      </c>
      <c r="D26" s="180">
        <v>0</v>
      </c>
      <c r="E26" s="100">
        <f t="shared" si="0"/>
        <v>0</v>
      </c>
    </row>
    <row r="27" spans="1:5" ht="24.95" customHeight="1" thickBot="1">
      <c r="A27" s="35" t="s">
        <v>146</v>
      </c>
      <c r="B27" s="180">
        <v>0</v>
      </c>
      <c r="C27" s="180">
        <v>0</v>
      </c>
      <c r="D27" s="180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62"/>
  <sheetViews>
    <sheetView zoomScale="80" zoomScaleNormal="80" workbookViewId="0">
      <pane xSplit="1" ySplit="10" topLeftCell="B21" activePane="bottomRight" state="frozen"/>
      <selection pane="bottomRight" activeCell="N40" sqref="N40:N41"/>
      <selection pane="bottomLeft" activeCell="D55" sqref="D55"/>
      <selection pane="topRight" activeCell="D55" sqref="D55"/>
    </sheetView>
  </sheetViews>
  <sheetFormatPr defaultRowHeight="12.75"/>
  <cols>
    <col min="1" max="1" width="16.42578125" style="78" customWidth="1"/>
    <col min="2" max="3" width="14.42578125" style="78" customWidth="1"/>
    <col min="4" max="4" width="14.42578125" style="164" customWidth="1"/>
    <col min="5" max="5" width="14.42578125" style="78" customWidth="1"/>
    <col min="6" max="254" width="9.140625" style="78"/>
    <col min="255" max="255" width="16.42578125" style="78" customWidth="1"/>
    <col min="256" max="256" width="16.7109375" style="78" customWidth="1"/>
    <col min="257" max="261" width="14.42578125" style="78" customWidth="1"/>
    <col min="262" max="510" width="9.140625" style="78"/>
    <col min="511" max="511" width="16.42578125" style="78" customWidth="1"/>
    <col min="512" max="512" width="16.7109375" style="78" customWidth="1"/>
    <col min="513" max="517" width="14.42578125" style="78" customWidth="1"/>
    <col min="518" max="766" width="9.140625" style="78"/>
    <col min="767" max="767" width="16.42578125" style="78" customWidth="1"/>
    <col min="768" max="768" width="16.7109375" style="78" customWidth="1"/>
    <col min="769" max="773" width="14.42578125" style="78" customWidth="1"/>
    <col min="774" max="1022" width="9.140625" style="78"/>
    <col min="1023" max="1023" width="16.42578125" style="78" customWidth="1"/>
    <col min="1024" max="1024" width="16.7109375" style="78" customWidth="1"/>
    <col min="1025" max="1029" width="14.42578125" style="78" customWidth="1"/>
    <col min="1030" max="1278" width="9.140625" style="78"/>
    <col min="1279" max="1279" width="16.42578125" style="78" customWidth="1"/>
    <col min="1280" max="1280" width="16.7109375" style="78" customWidth="1"/>
    <col min="1281" max="1285" width="14.42578125" style="78" customWidth="1"/>
    <col min="1286" max="1534" width="9.140625" style="78"/>
    <col min="1535" max="1535" width="16.42578125" style="78" customWidth="1"/>
    <col min="1536" max="1536" width="16.7109375" style="78" customWidth="1"/>
    <col min="1537" max="1541" width="14.42578125" style="78" customWidth="1"/>
    <col min="1542" max="1790" width="9.140625" style="78"/>
    <col min="1791" max="1791" width="16.42578125" style="78" customWidth="1"/>
    <col min="1792" max="1792" width="16.7109375" style="78" customWidth="1"/>
    <col min="1793" max="1797" width="14.42578125" style="78" customWidth="1"/>
    <col min="1798" max="2046" width="9.140625" style="78"/>
    <col min="2047" max="2047" width="16.42578125" style="78" customWidth="1"/>
    <col min="2048" max="2048" width="16.7109375" style="78" customWidth="1"/>
    <col min="2049" max="2053" width="14.42578125" style="78" customWidth="1"/>
    <col min="2054" max="2302" width="9.140625" style="78"/>
    <col min="2303" max="2303" width="16.42578125" style="78" customWidth="1"/>
    <col min="2304" max="2304" width="16.7109375" style="78" customWidth="1"/>
    <col min="2305" max="2309" width="14.42578125" style="78" customWidth="1"/>
    <col min="2310" max="2558" width="9.140625" style="78"/>
    <col min="2559" max="2559" width="16.42578125" style="78" customWidth="1"/>
    <col min="2560" max="2560" width="16.7109375" style="78" customWidth="1"/>
    <col min="2561" max="2565" width="14.42578125" style="78" customWidth="1"/>
    <col min="2566" max="2814" width="9.140625" style="78"/>
    <col min="2815" max="2815" width="16.42578125" style="78" customWidth="1"/>
    <col min="2816" max="2816" width="16.7109375" style="78" customWidth="1"/>
    <col min="2817" max="2821" width="14.42578125" style="78" customWidth="1"/>
    <col min="2822" max="3070" width="9.140625" style="78"/>
    <col min="3071" max="3071" width="16.42578125" style="78" customWidth="1"/>
    <col min="3072" max="3072" width="16.7109375" style="78" customWidth="1"/>
    <col min="3073" max="3077" width="14.42578125" style="78" customWidth="1"/>
    <col min="3078" max="3326" width="9.140625" style="78"/>
    <col min="3327" max="3327" width="16.42578125" style="78" customWidth="1"/>
    <col min="3328" max="3328" width="16.7109375" style="78" customWidth="1"/>
    <col min="3329" max="3333" width="14.42578125" style="78" customWidth="1"/>
    <col min="3334" max="3582" width="9.140625" style="78"/>
    <col min="3583" max="3583" width="16.42578125" style="78" customWidth="1"/>
    <col min="3584" max="3584" width="16.7109375" style="78" customWidth="1"/>
    <col min="3585" max="3589" width="14.42578125" style="78" customWidth="1"/>
    <col min="3590" max="3838" width="9.140625" style="78"/>
    <col min="3839" max="3839" width="16.42578125" style="78" customWidth="1"/>
    <col min="3840" max="3840" width="16.7109375" style="78" customWidth="1"/>
    <col min="3841" max="3845" width="14.42578125" style="78" customWidth="1"/>
    <col min="3846" max="4094" width="9.140625" style="78"/>
    <col min="4095" max="4095" width="16.42578125" style="78" customWidth="1"/>
    <col min="4096" max="4096" width="16.7109375" style="78" customWidth="1"/>
    <col min="4097" max="4101" width="14.42578125" style="78" customWidth="1"/>
    <col min="4102" max="4350" width="9.140625" style="78"/>
    <col min="4351" max="4351" width="16.42578125" style="78" customWidth="1"/>
    <col min="4352" max="4352" width="16.7109375" style="78" customWidth="1"/>
    <col min="4353" max="4357" width="14.42578125" style="78" customWidth="1"/>
    <col min="4358" max="4606" width="9.140625" style="78"/>
    <col min="4607" max="4607" width="16.42578125" style="78" customWidth="1"/>
    <col min="4608" max="4608" width="16.7109375" style="78" customWidth="1"/>
    <col min="4609" max="4613" width="14.42578125" style="78" customWidth="1"/>
    <col min="4614" max="4862" width="9.140625" style="78"/>
    <col min="4863" max="4863" width="16.42578125" style="78" customWidth="1"/>
    <col min="4864" max="4864" width="16.7109375" style="78" customWidth="1"/>
    <col min="4865" max="4869" width="14.42578125" style="78" customWidth="1"/>
    <col min="4870" max="5118" width="9.140625" style="78"/>
    <col min="5119" max="5119" width="16.42578125" style="78" customWidth="1"/>
    <col min="5120" max="5120" width="16.7109375" style="78" customWidth="1"/>
    <col min="5121" max="5125" width="14.42578125" style="78" customWidth="1"/>
    <col min="5126" max="5374" width="9.140625" style="78"/>
    <col min="5375" max="5375" width="16.42578125" style="78" customWidth="1"/>
    <col min="5376" max="5376" width="16.7109375" style="78" customWidth="1"/>
    <col min="5377" max="5381" width="14.42578125" style="78" customWidth="1"/>
    <col min="5382" max="5630" width="9.140625" style="78"/>
    <col min="5631" max="5631" width="16.42578125" style="78" customWidth="1"/>
    <col min="5632" max="5632" width="16.7109375" style="78" customWidth="1"/>
    <col min="5633" max="5637" width="14.42578125" style="78" customWidth="1"/>
    <col min="5638" max="5886" width="9.140625" style="78"/>
    <col min="5887" max="5887" width="16.42578125" style="78" customWidth="1"/>
    <col min="5888" max="5888" width="16.7109375" style="78" customWidth="1"/>
    <col min="5889" max="5893" width="14.42578125" style="78" customWidth="1"/>
    <col min="5894" max="6142" width="9.140625" style="78"/>
    <col min="6143" max="6143" width="16.42578125" style="78" customWidth="1"/>
    <col min="6144" max="6144" width="16.7109375" style="78" customWidth="1"/>
    <col min="6145" max="6149" width="14.42578125" style="78" customWidth="1"/>
    <col min="6150" max="6398" width="9.140625" style="78"/>
    <col min="6399" max="6399" width="16.42578125" style="78" customWidth="1"/>
    <col min="6400" max="6400" width="16.7109375" style="78" customWidth="1"/>
    <col min="6401" max="6405" width="14.42578125" style="78" customWidth="1"/>
    <col min="6406" max="6654" width="9.140625" style="78"/>
    <col min="6655" max="6655" width="16.42578125" style="78" customWidth="1"/>
    <col min="6656" max="6656" width="16.7109375" style="78" customWidth="1"/>
    <col min="6657" max="6661" width="14.42578125" style="78" customWidth="1"/>
    <col min="6662" max="6910" width="9.140625" style="78"/>
    <col min="6911" max="6911" width="16.42578125" style="78" customWidth="1"/>
    <col min="6912" max="6912" width="16.7109375" style="78" customWidth="1"/>
    <col min="6913" max="6917" width="14.42578125" style="78" customWidth="1"/>
    <col min="6918" max="7166" width="9.140625" style="78"/>
    <col min="7167" max="7167" width="16.42578125" style="78" customWidth="1"/>
    <col min="7168" max="7168" width="16.7109375" style="78" customWidth="1"/>
    <col min="7169" max="7173" width="14.42578125" style="78" customWidth="1"/>
    <col min="7174" max="7422" width="9.140625" style="78"/>
    <col min="7423" max="7423" width="16.42578125" style="78" customWidth="1"/>
    <col min="7424" max="7424" width="16.7109375" style="78" customWidth="1"/>
    <col min="7425" max="7429" width="14.42578125" style="78" customWidth="1"/>
    <col min="7430" max="7678" width="9.140625" style="78"/>
    <col min="7679" max="7679" width="16.42578125" style="78" customWidth="1"/>
    <col min="7680" max="7680" width="16.7109375" style="78" customWidth="1"/>
    <col min="7681" max="7685" width="14.42578125" style="78" customWidth="1"/>
    <col min="7686" max="7934" width="9.140625" style="78"/>
    <col min="7935" max="7935" width="16.42578125" style="78" customWidth="1"/>
    <col min="7936" max="7936" width="16.7109375" style="78" customWidth="1"/>
    <col min="7937" max="7941" width="14.42578125" style="78" customWidth="1"/>
    <col min="7942" max="8190" width="9.140625" style="78"/>
    <col min="8191" max="8191" width="16.42578125" style="78" customWidth="1"/>
    <col min="8192" max="8192" width="16.7109375" style="78" customWidth="1"/>
    <col min="8193" max="8197" width="14.42578125" style="78" customWidth="1"/>
    <col min="8198" max="8446" width="9.140625" style="78"/>
    <col min="8447" max="8447" width="16.42578125" style="78" customWidth="1"/>
    <col min="8448" max="8448" width="16.7109375" style="78" customWidth="1"/>
    <col min="8449" max="8453" width="14.42578125" style="78" customWidth="1"/>
    <col min="8454" max="8702" width="9.140625" style="78"/>
    <col min="8703" max="8703" width="16.42578125" style="78" customWidth="1"/>
    <col min="8704" max="8704" width="16.7109375" style="78" customWidth="1"/>
    <col min="8705" max="8709" width="14.42578125" style="78" customWidth="1"/>
    <col min="8710" max="8958" width="9.140625" style="78"/>
    <col min="8959" max="8959" width="16.42578125" style="78" customWidth="1"/>
    <col min="8960" max="8960" width="16.7109375" style="78" customWidth="1"/>
    <col min="8961" max="8965" width="14.42578125" style="78" customWidth="1"/>
    <col min="8966" max="9214" width="9.140625" style="78"/>
    <col min="9215" max="9215" width="16.42578125" style="78" customWidth="1"/>
    <col min="9216" max="9216" width="16.7109375" style="78" customWidth="1"/>
    <col min="9217" max="9221" width="14.42578125" style="78" customWidth="1"/>
    <col min="9222" max="9470" width="9.140625" style="78"/>
    <col min="9471" max="9471" width="16.42578125" style="78" customWidth="1"/>
    <col min="9472" max="9472" width="16.7109375" style="78" customWidth="1"/>
    <col min="9473" max="9477" width="14.42578125" style="78" customWidth="1"/>
    <col min="9478" max="9726" width="9.140625" style="78"/>
    <col min="9727" max="9727" width="16.42578125" style="78" customWidth="1"/>
    <col min="9728" max="9728" width="16.7109375" style="78" customWidth="1"/>
    <col min="9729" max="9733" width="14.42578125" style="78" customWidth="1"/>
    <col min="9734" max="9982" width="9.140625" style="78"/>
    <col min="9983" max="9983" width="16.42578125" style="78" customWidth="1"/>
    <col min="9984" max="9984" width="16.7109375" style="78" customWidth="1"/>
    <col min="9985" max="9989" width="14.42578125" style="78" customWidth="1"/>
    <col min="9990" max="10238" width="9.140625" style="78"/>
    <col min="10239" max="10239" width="16.42578125" style="78" customWidth="1"/>
    <col min="10240" max="10240" width="16.7109375" style="78" customWidth="1"/>
    <col min="10241" max="10245" width="14.42578125" style="78" customWidth="1"/>
    <col min="10246" max="10494" width="9.140625" style="78"/>
    <col min="10495" max="10495" width="16.42578125" style="78" customWidth="1"/>
    <col min="10496" max="10496" width="16.7109375" style="78" customWidth="1"/>
    <col min="10497" max="10501" width="14.42578125" style="78" customWidth="1"/>
    <col min="10502" max="10750" width="9.140625" style="78"/>
    <col min="10751" max="10751" width="16.42578125" style="78" customWidth="1"/>
    <col min="10752" max="10752" width="16.7109375" style="78" customWidth="1"/>
    <col min="10753" max="10757" width="14.42578125" style="78" customWidth="1"/>
    <col min="10758" max="11006" width="9.140625" style="78"/>
    <col min="11007" max="11007" width="16.42578125" style="78" customWidth="1"/>
    <col min="11008" max="11008" width="16.7109375" style="78" customWidth="1"/>
    <col min="11009" max="11013" width="14.42578125" style="78" customWidth="1"/>
    <col min="11014" max="11262" width="9.140625" style="78"/>
    <col min="11263" max="11263" width="16.42578125" style="78" customWidth="1"/>
    <col min="11264" max="11264" width="16.7109375" style="78" customWidth="1"/>
    <col min="11265" max="11269" width="14.42578125" style="78" customWidth="1"/>
    <col min="11270" max="11518" width="9.140625" style="78"/>
    <col min="11519" max="11519" width="16.42578125" style="78" customWidth="1"/>
    <col min="11520" max="11520" width="16.7109375" style="78" customWidth="1"/>
    <col min="11521" max="11525" width="14.42578125" style="78" customWidth="1"/>
    <col min="11526" max="11774" width="9.140625" style="78"/>
    <col min="11775" max="11775" width="16.42578125" style="78" customWidth="1"/>
    <col min="11776" max="11776" width="16.7109375" style="78" customWidth="1"/>
    <col min="11777" max="11781" width="14.42578125" style="78" customWidth="1"/>
    <col min="11782" max="12030" width="9.140625" style="78"/>
    <col min="12031" max="12031" width="16.42578125" style="78" customWidth="1"/>
    <col min="12032" max="12032" width="16.7109375" style="78" customWidth="1"/>
    <col min="12033" max="12037" width="14.42578125" style="78" customWidth="1"/>
    <col min="12038" max="12286" width="9.140625" style="78"/>
    <col min="12287" max="12287" width="16.42578125" style="78" customWidth="1"/>
    <col min="12288" max="12288" width="16.7109375" style="78" customWidth="1"/>
    <col min="12289" max="12293" width="14.42578125" style="78" customWidth="1"/>
    <col min="12294" max="12542" width="9.140625" style="78"/>
    <col min="12543" max="12543" width="16.42578125" style="78" customWidth="1"/>
    <col min="12544" max="12544" width="16.7109375" style="78" customWidth="1"/>
    <col min="12545" max="12549" width="14.42578125" style="78" customWidth="1"/>
    <col min="12550" max="12798" width="9.140625" style="78"/>
    <col min="12799" max="12799" width="16.42578125" style="78" customWidth="1"/>
    <col min="12800" max="12800" width="16.7109375" style="78" customWidth="1"/>
    <col min="12801" max="12805" width="14.42578125" style="78" customWidth="1"/>
    <col min="12806" max="13054" width="9.140625" style="78"/>
    <col min="13055" max="13055" width="16.42578125" style="78" customWidth="1"/>
    <col min="13056" max="13056" width="16.7109375" style="78" customWidth="1"/>
    <col min="13057" max="13061" width="14.42578125" style="78" customWidth="1"/>
    <col min="13062" max="13310" width="9.140625" style="78"/>
    <col min="13311" max="13311" width="16.42578125" style="78" customWidth="1"/>
    <col min="13312" max="13312" width="16.7109375" style="78" customWidth="1"/>
    <col min="13313" max="13317" width="14.42578125" style="78" customWidth="1"/>
    <col min="13318" max="13566" width="9.140625" style="78"/>
    <col min="13567" max="13567" width="16.42578125" style="78" customWidth="1"/>
    <col min="13568" max="13568" width="16.7109375" style="78" customWidth="1"/>
    <col min="13569" max="13573" width="14.42578125" style="78" customWidth="1"/>
    <col min="13574" max="13822" width="9.140625" style="78"/>
    <col min="13823" max="13823" width="16.42578125" style="78" customWidth="1"/>
    <col min="13824" max="13824" width="16.7109375" style="78" customWidth="1"/>
    <col min="13825" max="13829" width="14.42578125" style="78" customWidth="1"/>
    <col min="13830" max="14078" width="9.140625" style="78"/>
    <col min="14079" max="14079" width="16.42578125" style="78" customWidth="1"/>
    <col min="14080" max="14080" width="16.7109375" style="78" customWidth="1"/>
    <col min="14081" max="14085" width="14.42578125" style="78" customWidth="1"/>
    <col min="14086" max="14334" width="9.140625" style="78"/>
    <col min="14335" max="14335" width="16.42578125" style="78" customWidth="1"/>
    <col min="14336" max="14336" width="16.7109375" style="78" customWidth="1"/>
    <col min="14337" max="14341" width="14.42578125" style="78" customWidth="1"/>
    <col min="14342" max="14590" width="9.140625" style="78"/>
    <col min="14591" max="14591" width="16.42578125" style="78" customWidth="1"/>
    <col min="14592" max="14592" width="16.7109375" style="78" customWidth="1"/>
    <col min="14593" max="14597" width="14.42578125" style="78" customWidth="1"/>
    <col min="14598" max="14846" width="9.140625" style="78"/>
    <col min="14847" max="14847" width="16.42578125" style="78" customWidth="1"/>
    <col min="14848" max="14848" width="16.7109375" style="78" customWidth="1"/>
    <col min="14849" max="14853" width="14.42578125" style="78" customWidth="1"/>
    <col min="14854" max="15102" width="9.140625" style="78"/>
    <col min="15103" max="15103" width="16.42578125" style="78" customWidth="1"/>
    <col min="15104" max="15104" width="16.7109375" style="78" customWidth="1"/>
    <col min="15105" max="15109" width="14.42578125" style="78" customWidth="1"/>
    <col min="15110" max="15358" width="9.140625" style="78"/>
    <col min="15359" max="15359" width="16.42578125" style="78" customWidth="1"/>
    <col min="15360" max="15360" width="16.7109375" style="78" customWidth="1"/>
    <col min="15361" max="15365" width="14.42578125" style="78" customWidth="1"/>
    <col min="15366" max="15614" width="9.140625" style="78"/>
    <col min="15615" max="15615" width="16.42578125" style="78" customWidth="1"/>
    <col min="15616" max="15616" width="16.7109375" style="78" customWidth="1"/>
    <col min="15617" max="15621" width="14.42578125" style="78" customWidth="1"/>
    <col min="15622" max="15870" width="9.140625" style="78"/>
    <col min="15871" max="15871" width="16.42578125" style="78" customWidth="1"/>
    <col min="15872" max="15872" width="16.7109375" style="78" customWidth="1"/>
    <col min="15873" max="15877" width="14.42578125" style="78" customWidth="1"/>
    <col min="15878" max="16126" width="9.140625" style="78"/>
    <col min="16127" max="16127" width="16.42578125" style="78" customWidth="1"/>
    <col min="16128" max="16128" width="16.7109375" style="78" customWidth="1"/>
    <col min="16129" max="16133" width="14.42578125" style="78" customWidth="1"/>
    <col min="16134" max="16384" width="9.140625" style="78"/>
  </cols>
  <sheetData>
    <row r="1" spans="1:10">
      <c r="A1" s="86" t="str">
        <f>'Paids --yr end'!A1</f>
        <v>NTA - 1/1/2013</v>
      </c>
    </row>
    <row r="2" spans="1:10">
      <c r="A2" s="86" t="s">
        <v>155</v>
      </c>
      <c r="B2" s="134"/>
      <c r="D2" s="165"/>
      <c r="E2" s="115" t="s">
        <v>156</v>
      </c>
    </row>
    <row r="3" spans="1:10">
      <c r="A3" s="86" t="str">
        <f>'Paids --yr end'!A3</f>
        <v>Line of Business (Annual Statement Lines)</v>
      </c>
    </row>
    <row r="4" spans="1:10">
      <c r="A4" s="86" t="str">
        <f>Premiums!A4</f>
        <v>STATE NATIONAL INSURANCE COMPANY</v>
      </c>
    </row>
    <row r="5" spans="1:10" ht="15.75">
      <c r="A5" s="135"/>
      <c r="B5" s="185" t="s">
        <v>157</v>
      </c>
      <c r="C5" s="186"/>
      <c r="D5" s="186"/>
      <c r="E5" s="187"/>
      <c r="G5" s="136"/>
      <c r="I5" s="136"/>
      <c r="J5" s="136"/>
    </row>
    <row r="6" spans="1:10">
      <c r="B6" s="188"/>
      <c r="C6" s="189"/>
      <c r="D6" s="189"/>
      <c r="E6" s="190"/>
      <c r="G6" s="136"/>
      <c r="I6" s="136"/>
      <c r="J6" s="136"/>
    </row>
    <row r="7" spans="1:10">
      <c r="A7" s="137"/>
      <c r="B7" s="191"/>
      <c r="C7" s="192"/>
      <c r="D7" s="192"/>
      <c r="E7" s="193"/>
      <c r="G7" s="136"/>
      <c r="I7" s="136"/>
      <c r="J7" s="136"/>
    </row>
    <row r="8" spans="1:10">
      <c r="A8" s="137"/>
      <c r="B8" s="149"/>
      <c r="C8" s="149"/>
      <c r="D8" s="166"/>
      <c r="E8" s="149"/>
      <c r="G8" s="136"/>
      <c r="I8" s="136"/>
      <c r="J8" s="136"/>
    </row>
    <row r="10" spans="1:10" ht="15.75">
      <c r="A10" s="138" t="s">
        <v>158</v>
      </c>
      <c r="B10" s="139">
        <f>Premiums!B7</f>
        <v>19.3</v>
      </c>
      <c r="C10" s="139">
        <f>Premiums!C7</f>
        <v>19.399999999999999</v>
      </c>
      <c r="D10" s="167">
        <f>Premiums!D7</f>
        <v>21.2</v>
      </c>
      <c r="E10" s="138" t="s">
        <v>159</v>
      </c>
      <c r="F10" s="138"/>
      <c r="G10" s="138"/>
    </row>
    <row r="11" spans="1:10" ht="15.75">
      <c r="A11" s="78" t="s">
        <v>160</v>
      </c>
      <c r="B11" s="140">
        <v>0</v>
      </c>
      <c r="C11" s="140">
        <v>0</v>
      </c>
      <c r="D11" s="169">
        <v>0</v>
      </c>
      <c r="E11" s="169">
        <f t="shared" ref="E11:E12" si="0">C11+D11</f>
        <v>0</v>
      </c>
      <c r="F11" s="138"/>
      <c r="G11" s="138"/>
    </row>
    <row r="12" spans="1:10">
      <c r="A12" s="78" t="s">
        <v>161</v>
      </c>
      <c r="B12" s="140">
        <v>0</v>
      </c>
      <c r="C12" s="140">
        <v>0</v>
      </c>
      <c r="D12" s="169">
        <v>0</v>
      </c>
      <c r="E12" s="169">
        <f t="shared" si="0"/>
        <v>0</v>
      </c>
    </row>
    <row r="13" spans="1:10">
      <c r="A13" s="78" t="s">
        <v>162</v>
      </c>
      <c r="B13" s="155">
        <v>0</v>
      </c>
      <c r="C13" s="155">
        <v>0</v>
      </c>
      <c r="D13" s="170">
        <v>6</v>
      </c>
      <c r="E13" s="170">
        <f>C13+D13</f>
        <v>6</v>
      </c>
    </row>
    <row r="14" spans="1:10">
      <c r="A14" s="78" t="s">
        <v>163</v>
      </c>
      <c r="B14" s="140">
        <v>0</v>
      </c>
      <c r="C14" s="140">
        <v>0</v>
      </c>
      <c r="D14" s="169">
        <v>0</v>
      </c>
      <c r="E14" s="169">
        <f t="shared" ref="E14:E60" si="1">C14+D14</f>
        <v>0</v>
      </c>
    </row>
    <row r="15" spans="1:10">
      <c r="A15" s="78" t="s">
        <v>164</v>
      </c>
      <c r="B15" s="155">
        <v>0</v>
      </c>
      <c r="C15" s="155">
        <v>0</v>
      </c>
      <c r="D15" s="170">
        <v>219</v>
      </c>
      <c r="E15" s="170">
        <f t="shared" si="1"/>
        <v>219</v>
      </c>
    </row>
    <row r="16" spans="1:10">
      <c r="A16" s="78" t="s">
        <v>165</v>
      </c>
      <c r="B16" s="140">
        <v>0</v>
      </c>
      <c r="C16" s="140">
        <v>0</v>
      </c>
      <c r="D16" s="169">
        <v>0</v>
      </c>
      <c r="E16" s="169">
        <f t="shared" si="1"/>
        <v>0</v>
      </c>
    </row>
    <row r="17" spans="1:6">
      <c r="A17" s="78" t="s">
        <v>166</v>
      </c>
      <c r="B17" s="140">
        <v>0</v>
      </c>
      <c r="C17" s="140">
        <v>0</v>
      </c>
      <c r="D17" s="169">
        <v>0</v>
      </c>
      <c r="E17" s="169">
        <f t="shared" si="1"/>
        <v>0</v>
      </c>
    </row>
    <row r="18" spans="1:6">
      <c r="A18" s="78" t="s">
        <v>167</v>
      </c>
      <c r="B18" s="140">
        <v>0</v>
      </c>
      <c r="C18" s="140">
        <v>0</v>
      </c>
      <c r="D18" s="169">
        <v>0</v>
      </c>
      <c r="E18" s="169">
        <f t="shared" si="1"/>
        <v>0</v>
      </c>
    </row>
    <row r="19" spans="1:6">
      <c r="A19" s="78" t="s">
        <v>168</v>
      </c>
      <c r="B19" s="140">
        <v>0</v>
      </c>
      <c r="C19" s="140">
        <v>0</v>
      </c>
      <c r="D19" s="169">
        <v>0</v>
      </c>
      <c r="E19" s="169">
        <f t="shared" si="1"/>
        <v>0</v>
      </c>
    </row>
    <row r="20" spans="1:6">
      <c r="A20" s="78" t="s">
        <v>169</v>
      </c>
      <c r="B20" s="140">
        <v>0</v>
      </c>
      <c r="C20" s="140">
        <v>0</v>
      </c>
      <c r="D20" s="169">
        <v>3</v>
      </c>
      <c r="E20" s="169">
        <f t="shared" si="1"/>
        <v>3</v>
      </c>
    </row>
    <row r="21" spans="1:6">
      <c r="A21" s="78" t="s">
        <v>170</v>
      </c>
      <c r="B21" s="140">
        <v>0</v>
      </c>
      <c r="C21" s="140">
        <v>0</v>
      </c>
      <c r="D21" s="169">
        <v>0</v>
      </c>
      <c r="E21" s="169">
        <f t="shared" si="1"/>
        <v>0</v>
      </c>
    </row>
    <row r="22" spans="1:6">
      <c r="A22" s="78" t="s">
        <v>171</v>
      </c>
      <c r="B22" s="140">
        <v>0</v>
      </c>
      <c r="C22" s="140">
        <v>0</v>
      </c>
      <c r="D22" s="169">
        <v>0</v>
      </c>
      <c r="E22" s="169">
        <f t="shared" si="1"/>
        <v>0</v>
      </c>
    </row>
    <row r="23" spans="1:6">
      <c r="A23" s="78" t="s">
        <v>172</v>
      </c>
      <c r="B23" s="140">
        <v>0</v>
      </c>
      <c r="C23" s="140">
        <v>0</v>
      </c>
      <c r="D23" s="169">
        <v>0</v>
      </c>
      <c r="E23" s="169">
        <f t="shared" si="1"/>
        <v>0</v>
      </c>
      <c r="F23" s="86"/>
    </row>
    <row r="24" spans="1:6">
      <c r="A24" s="78" t="s">
        <v>173</v>
      </c>
      <c r="B24" s="140">
        <v>0</v>
      </c>
      <c r="C24" s="140">
        <v>0</v>
      </c>
      <c r="D24" s="169">
        <v>4</v>
      </c>
      <c r="E24" s="169">
        <f t="shared" si="1"/>
        <v>4</v>
      </c>
    </row>
    <row r="25" spans="1:6">
      <c r="A25" s="78" t="s">
        <v>174</v>
      </c>
      <c r="B25" s="140">
        <v>0</v>
      </c>
      <c r="C25" s="140">
        <v>0</v>
      </c>
      <c r="D25" s="169">
        <v>1</v>
      </c>
      <c r="E25" s="169">
        <f t="shared" si="1"/>
        <v>1</v>
      </c>
    </row>
    <row r="26" spans="1:6">
      <c r="A26" s="78" t="s">
        <v>175</v>
      </c>
      <c r="B26" s="140">
        <v>0</v>
      </c>
      <c r="C26" s="140">
        <v>0</v>
      </c>
      <c r="D26" s="169">
        <v>0</v>
      </c>
      <c r="E26" s="169">
        <f t="shared" si="1"/>
        <v>0</v>
      </c>
    </row>
    <row r="27" spans="1:6">
      <c r="A27" s="78" t="s">
        <v>176</v>
      </c>
      <c r="B27" s="140">
        <v>0</v>
      </c>
      <c r="C27" s="140">
        <v>0</v>
      </c>
      <c r="D27" s="169">
        <v>0</v>
      </c>
      <c r="E27" s="169">
        <f t="shared" si="1"/>
        <v>0</v>
      </c>
    </row>
    <row r="28" spans="1:6">
      <c r="A28" s="78" t="s">
        <v>177</v>
      </c>
      <c r="B28" s="140">
        <v>0</v>
      </c>
      <c r="C28" s="140">
        <v>0</v>
      </c>
      <c r="D28" s="169">
        <v>0</v>
      </c>
      <c r="E28" s="169">
        <f t="shared" si="1"/>
        <v>0</v>
      </c>
    </row>
    <row r="29" spans="1:6">
      <c r="A29" s="78" t="s">
        <v>178</v>
      </c>
      <c r="B29" s="140">
        <v>0</v>
      </c>
      <c r="C29" s="140">
        <v>0</v>
      </c>
      <c r="D29" s="169">
        <v>0</v>
      </c>
      <c r="E29" s="169">
        <f t="shared" si="1"/>
        <v>0</v>
      </c>
    </row>
    <row r="30" spans="1:6">
      <c r="A30" s="78" t="s">
        <v>179</v>
      </c>
      <c r="B30" s="140">
        <v>0</v>
      </c>
      <c r="C30" s="140">
        <v>0</v>
      </c>
      <c r="D30" s="169">
        <v>0</v>
      </c>
      <c r="E30" s="169">
        <f t="shared" si="1"/>
        <v>0</v>
      </c>
    </row>
    <row r="31" spans="1:6">
      <c r="A31" s="78" t="s">
        <v>180</v>
      </c>
      <c r="B31" s="140">
        <v>0</v>
      </c>
      <c r="C31" s="140">
        <v>0</v>
      </c>
      <c r="D31" s="169">
        <v>0</v>
      </c>
      <c r="E31" s="169">
        <f t="shared" si="1"/>
        <v>0</v>
      </c>
    </row>
    <row r="32" spans="1:6">
      <c r="A32" s="78" t="s">
        <v>181</v>
      </c>
      <c r="B32" s="140">
        <v>0</v>
      </c>
      <c r="C32" s="140">
        <v>0</v>
      </c>
      <c r="D32" s="169">
        <v>1</v>
      </c>
      <c r="E32" s="169">
        <f t="shared" si="1"/>
        <v>1</v>
      </c>
    </row>
    <row r="33" spans="1:5">
      <c r="A33" s="78" t="s">
        <v>182</v>
      </c>
      <c r="B33" s="140">
        <v>0</v>
      </c>
      <c r="C33" s="140">
        <v>0</v>
      </c>
      <c r="D33" s="169">
        <v>1</v>
      </c>
      <c r="E33" s="169">
        <f t="shared" si="1"/>
        <v>1</v>
      </c>
    </row>
    <row r="34" spans="1:5">
      <c r="A34" s="78" t="s">
        <v>183</v>
      </c>
      <c r="B34" s="140">
        <v>0</v>
      </c>
      <c r="C34" s="140">
        <v>0</v>
      </c>
      <c r="D34" s="169">
        <v>0</v>
      </c>
      <c r="E34" s="169">
        <f t="shared" si="1"/>
        <v>0</v>
      </c>
    </row>
    <row r="35" spans="1:5">
      <c r="A35" s="78" t="s">
        <v>184</v>
      </c>
      <c r="B35" s="140">
        <v>0</v>
      </c>
      <c r="C35" s="140">
        <v>0</v>
      </c>
      <c r="D35" s="169">
        <v>2</v>
      </c>
      <c r="E35" s="169">
        <f t="shared" si="1"/>
        <v>2</v>
      </c>
    </row>
    <row r="36" spans="1:5">
      <c r="A36" s="78" t="s">
        <v>185</v>
      </c>
      <c r="B36" s="140">
        <v>0</v>
      </c>
      <c r="C36" s="140">
        <v>0</v>
      </c>
      <c r="D36" s="169">
        <v>0</v>
      </c>
      <c r="E36" s="169">
        <f t="shared" si="1"/>
        <v>0</v>
      </c>
    </row>
    <row r="37" spans="1:5">
      <c r="A37" s="78" t="s">
        <v>186</v>
      </c>
      <c r="B37" s="140">
        <v>0</v>
      </c>
      <c r="C37" s="140">
        <v>0</v>
      </c>
      <c r="D37" s="169">
        <v>0</v>
      </c>
      <c r="E37" s="169">
        <f t="shared" si="1"/>
        <v>0</v>
      </c>
    </row>
    <row r="38" spans="1:5">
      <c r="A38" s="78" t="s">
        <v>187</v>
      </c>
      <c r="B38" s="140">
        <v>0</v>
      </c>
      <c r="C38" s="140">
        <v>0</v>
      </c>
      <c r="D38" s="169">
        <v>0</v>
      </c>
      <c r="E38" s="169">
        <f t="shared" si="1"/>
        <v>0</v>
      </c>
    </row>
    <row r="39" spans="1:5">
      <c r="A39" s="78" t="s">
        <v>188</v>
      </c>
      <c r="B39" s="140">
        <v>0</v>
      </c>
      <c r="C39" s="140">
        <v>0</v>
      </c>
      <c r="D39" s="169">
        <v>0</v>
      </c>
      <c r="E39" s="169">
        <f t="shared" si="1"/>
        <v>0</v>
      </c>
    </row>
    <row r="40" spans="1:5">
      <c r="A40" s="78" t="s">
        <v>189</v>
      </c>
      <c r="B40" s="140">
        <v>0</v>
      </c>
      <c r="C40" s="140">
        <v>0</v>
      </c>
      <c r="D40" s="169">
        <v>12</v>
      </c>
      <c r="E40" s="169">
        <f t="shared" si="1"/>
        <v>12</v>
      </c>
    </row>
    <row r="41" spans="1:5">
      <c r="A41" s="78" t="s">
        <v>190</v>
      </c>
      <c r="B41" s="140">
        <v>0</v>
      </c>
      <c r="C41" s="140">
        <v>0</v>
      </c>
      <c r="D41" s="169">
        <v>0</v>
      </c>
      <c r="E41" s="169">
        <f t="shared" si="1"/>
        <v>0</v>
      </c>
    </row>
    <row r="42" spans="1:5">
      <c r="A42" s="78" t="s">
        <v>191</v>
      </c>
      <c r="B42" s="140">
        <v>0</v>
      </c>
      <c r="C42" s="140">
        <v>0</v>
      </c>
      <c r="D42" s="169">
        <v>0</v>
      </c>
      <c r="E42" s="169">
        <f t="shared" si="1"/>
        <v>0</v>
      </c>
    </row>
    <row r="43" spans="1:5">
      <c r="A43" s="78" t="s">
        <v>192</v>
      </c>
      <c r="B43" s="140">
        <v>0</v>
      </c>
      <c r="C43" s="140">
        <v>0</v>
      </c>
      <c r="D43" s="169">
        <v>0</v>
      </c>
      <c r="E43" s="169">
        <f t="shared" si="1"/>
        <v>0</v>
      </c>
    </row>
    <row r="44" spans="1:5">
      <c r="A44" s="78" t="s">
        <v>193</v>
      </c>
      <c r="B44" s="140">
        <v>0</v>
      </c>
      <c r="C44" s="140">
        <v>0</v>
      </c>
      <c r="D44" s="169">
        <v>0</v>
      </c>
      <c r="E44" s="169">
        <f t="shared" si="1"/>
        <v>0</v>
      </c>
    </row>
    <row r="45" spans="1:5">
      <c r="A45" s="78" t="s">
        <v>194</v>
      </c>
      <c r="B45" s="140">
        <v>0</v>
      </c>
      <c r="C45" s="140">
        <v>0</v>
      </c>
      <c r="D45" s="169">
        <v>2</v>
      </c>
      <c r="E45" s="169">
        <f t="shared" si="1"/>
        <v>2</v>
      </c>
    </row>
    <row r="46" spans="1:5">
      <c r="A46" s="78" t="s">
        <v>195</v>
      </c>
      <c r="B46" s="140">
        <v>0</v>
      </c>
      <c r="C46" s="140">
        <v>0</v>
      </c>
      <c r="D46" s="169">
        <v>0</v>
      </c>
      <c r="E46" s="169">
        <f t="shared" si="1"/>
        <v>0</v>
      </c>
    </row>
    <row r="47" spans="1:5">
      <c r="A47" s="78" t="s">
        <v>196</v>
      </c>
      <c r="B47" s="140">
        <v>0</v>
      </c>
      <c r="C47" s="140">
        <v>0</v>
      </c>
      <c r="D47" s="169">
        <v>1</v>
      </c>
      <c r="E47" s="169">
        <f t="shared" si="1"/>
        <v>1</v>
      </c>
    </row>
    <row r="48" spans="1:5">
      <c r="A48" s="78" t="s">
        <v>197</v>
      </c>
      <c r="B48" s="140">
        <v>0</v>
      </c>
      <c r="C48" s="140">
        <v>0</v>
      </c>
      <c r="D48" s="169">
        <v>2</v>
      </c>
      <c r="E48" s="169">
        <f t="shared" si="1"/>
        <v>2</v>
      </c>
    </row>
    <row r="49" spans="1:5">
      <c r="A49" s="78" t="s">
        <v>198</v>
      </c>
      <c r="B49" s="140">
        <v>0</v>
      </c>
      <c r="C49" s="140">
        <v>0</v>
      </c>
      <c r="D49" s="169">
        <v>0</v>
      </c>
      <c r="E49" s="169">
        <f t="shared" si="1"/>
        <v>0</v>
      </c>
    </row>
    <row r="50" spans="1:5">
      <c r="A50" s="78" t="s">
        <v>199</v>
      </c>
      <c r="B50" s="140">
        <v>0</v>
      </c>
      <c r="C50" s="140">
        <v>0</v>
      </c>
      <c r="D50" s="169">
        <v>0</v>
      </c>
      <c r="E50" s="169">
        <f t="shared" si="1"/>
        <v>0</v>
      </c>
    </row>
    <row r="51" spans="1:5">
      <c r="A51" s="78" t="s">
        <v>200</v>
      </c>
      <c r="B51" s="140">
        <v>0</v>
      </c>
      <c r="C51" s="140">
        <v>0</v>
      </c>
      <c r="D51" s="169">
        <v>0</v>
      </c>
      <c r="E51" s="169">
        <f t="shared" si="1"/>
        <v>0</v>
      </c>
    </row>
    <row r="52" spans="1:5">
      <c r="A52" s="78" t="s">
        <v>201</v>
      </c>
      <c r="B52" s="140">
        <v>0</v>
      </c>
      <c r="C52" s="140">
        <v>0</v>
      </c>
      <c r="D52" s="169">
        <v>0</v>
      </c>
      <c r="E52" s="169">
        <f t="shared" si="1"/>
        <v>0</v>
      </c>
    </row>
    <row r="53" spans="1:5">
      <c r="A53" s="78" t="s">
        <v>202</v>
      </c>
      <c r="B53" s="140">
        <v>0</v>
      </c>
      <c r="C53" s="140">
        <v>0</v>
      </c>
      <c r="D53" s="169">
        <v>26</v>
      </c>
      <c r="E53" s="169">
        <f t="shared" si="1"/>
        <v>26</v>
      </c>
    </row>
    <row r="54" spans="1:5">
      <c r="A54" s="78" t="s">
        <v>203</v>
      </c>
      <c r="B54" s="140">
        <v>0</v>
      </c>
      <c r="C54" s="140">
        <v>0</v>
      </c>
      <c r="D54" s="169">
        <v>0</v>
      </c>
      <c r="E54" s="169">
        <f t="shared" si="1"/>
        <v>0</v>
      </c>
    </row>
    <row r="55" spans="1:5">
      <c r="A55" s="78" t="s">
        <v>204</v>
      </c>
      <c r="B55" s="140">
        <v>0</v>
      </c>
      <c r="C55" s="140">
        <v>0</v>
      </c>
      <c r="D55" s="169">
        <v>0</v>
      </c>
      <c r="E55" s="169">
        <f t="shared" si="1"/>
        <v>0</v>
      </c>
    </row>
    <row r="56" spans="1:5">
      <c r="A56" s="78" t="s">
        <v>205</v>
      </c>
      <c r="B56" s="140">
        <v>0</v>
      </c>
      <c r="C56" s="140">
        <v>0</v>
      </c>
      <c r="D56" s="169">
        <v>1</v>
      </c>
      <c r="E56" s="169">
        <f t="shared" si="1"/>
        <v>1</v>
      </c>
    </row>
    <row r="57" spans="1:5">
      <c r="A57" s="78" t="s">
        <v>206</v>
      </c>
      <c r="B57" s="140">
        <v>0</v>
      </c>
      <c r="C57" s="140">
        <v>0</v>
      </c>
      <c r="D57" s="169">
        <v>2</v>
      </c>
      <c r="E57" s="169">
        <f t="shared" si="1"/>
        <v>2</v>
      </c>
    </row>
    <row r="58" spans="1:5">
      <c r="A58" s="78" t="s">
        <v>207</v>
      </c>
      <c r="B58" s="140">
        <v>0</v>
      </c>
      <c r="C58" s="140">
        <v>0</v>
      </c>
      <c r="D58" s="169">
        <v>0</v>
      </c>
      <c r="E58" s="169">
        <f t="shared" si="1"/>
        <v>0</v>
      </c>
    </row>
    <row r="59" spans="1:5">
      <c r="A59" s="78" t="s">
        <v>208</v>
      </c>
      <c r="B59" s="140">
        <v>0</v>
      </c>
      <c r="C59" s="140">
        <v>0</v>
      </c>
      <c r="D59" s="169">
        <v>0</v>
      </c>
      <c r="E59" s="169">
        <f t="shared" si="1"/>
        <v>0</v>
      </c>
    </row>
    <row r="60" spans="1:5">
      <c r="A60" s="78" t="s">
        <v>209</v>
      </c>
      <c r="B60" s="140">
        <v>0</v>
      </c>
      <c r="C60" s="140">
        <v>0</v>
      </c>
      <c r="D60" s="169">
        <v>0</v>
      </c>
      <c r="E60" s="169">
        <f t="shared" si="1"/>
        <v>0</v>
      </c>
    </row>
    <row r="61" spans="1:5" ht="13.5" thickBot="1">
      <c r="B61" s="141"/>
      <c r="C61" s="141">
        <f>SUM(C11:C60)</f>
        <v>0</v>
      </c>
      <c r="D61" s="168">
        <f>SUM(D11:D60)</f>
        <v>283</v>
      </c>
      <c r="E61" s="141">
        <f t="shared" ref="E61" si="2">SUM(E11:E60)</f>
        <v>283</v>
      </c>
    </row>
    <row r="62" spans="1:5" ht="13.5" thickTop="1"/>
  </sheetData>
  <mergeCells count="1">
    <mergeCell ref="B5:E7"/>
  </mergeCells>
  <pageMargins left="0.7" right="0.7" top="0.75" bottom="0.75" header="0.3" footer="0.3"/>
  <pageSetup orientation="portrait" horizontalDpi="1200" verticalDpi="12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62"/>
  <sheetViews>
    <sheetView workbookViewId="0">
      <selection activeCell="C36" sqref="C36"/>
    </sheetView>
  </sheetViews>
  <sheetFormatPr defaultColWidth="9.140625" defaultRowHeight="12.75"/>
  <cols>
    <col min="1" max="1" width="23.7109375" style="90" customWidth="1"/>
    <col min="2" max="2" width="9.7109375" style="90" customWidth="1"/>
    <col min="3" max="16384" width="9.140625" style="90"/>
  </cols>
  <sheetData>
    <row r="1" spans="1:2" ht="15.75">
      <c r="A1" s="89" t="s">
        <v>210</v>
      </c>
      <c r="B1" s="89"/>
    </row>
    <row r="2" spans="1:2">
      <c r="A2" s="91"/>
      <c r="B2" s="91"/>
    </row>
    <row r="3" spans="1:2">
      <c r="A3" s="91"/>
      <c r="B3" s="91"/>
    </row>
    <row r="4" spans="1:2">
      <c r="A4" s="91"/>
      <c r="B4" s="92" t="s">
        <v>211</v>
      </c>
    </row>
    <row r="5" spans="1:2">
      <c r="A5" s="93" t="s">
        <v>158</v>
      </c>
      <c r="B5" s="94" t="s">
        <v>212</v>
      </c>
    </row>
    <row r="6" spans="1:2">
      <c r="A6" s="91"/>
      <c r="B6" s="91"/>
    </row>
    <row r="7" spans="1:2">
      <c r="A7" s="95" t="s">
        <v>213</v>
      </c>
      <c r="B7" s="91">
        <v>4.9059999999999999E-2</v>
      </c>
    </row>
    <row r="8" spans="1:2">
      <c r="A8" s="96" t="s">
        <v>214</v>
      </c>
      <c r="B8" s="91">
        <v>2.7E-2</v>
      </c>
    </row>
    <row r="9" spans="1:2">
      <c r="A9" s="96" t="s">
        <v>215</v>
      </c>
      <c r="B9" s="91">
        <v>2.375E-2</v>
      </c>
    </row>
    <row r="10" spans="1:2">
      <c r="A10" s="96" t="s">
        <v>216</v>
      </c>
      <c r="B10" s="91">
        <v>0.03</v>
      </c>
    </row>
    <row r="11" spans="1:2">
      <c r="A11" s="96" t="s">
        <v>217</v>
      </c>
      <c r="B11" s="91">
        <v>2.35E-2</v>
      </c>
    </row>
    <row r="12" spans="1:2">
      <c r="A12" s="96" t="s">
        <v>218</v>
      </c>
      <c r="B12" s="91">
        <v>0.02</v>
      </c>
    </row>
    <row r="13" spans="1:2">
      <c r="A13" s="96" t="s">
        <v>219</v>
      </c>
      <c r="B13" s="91">
        <v>1.7500000000000002E-2</v>
      </c>
    </row>
    <row r="14" spans="1:2">
      <c r="A14" s="96" t="s">
        <v>220</v>
      </c>
      <c r="B14" s="91">
        <v>0.02</v>
      </c>
    </row>
    <row r="15" spans="1:2">
      <c r="A15" s="96" t="s">
        <v>221</v>
      </c>
      <c r="B15" s="91">
        <v>1.7399999999999999E-2</v>
      </c>
    </row>
    <row r="16" spans="1:2">
      <c r="A16" s="96" t="s">
        <v>222</v>
      </c>
      <c r="B16" s="97">
        <v>1.804E-2</v>
      </c>
    </row>
    <row r="17" spans="1:2">
      <c r="A17" s="96" t="s">
        <v>223</v>
      </c>
      <c r="B17" s="91">
        <v>4.9869999999999998E-2</v>
      </c>
    </row>
    <row r="18" spans="1:2">
      <c r="A18" s="96" t="s">
        <v>224</v>
      </c>
      <c r="B18" s="91">
        <v>4.265E-2</v>
      </c>
    </row>
    <row r="19" spans="1:2">
      <c r="A19" s="96" t="s">
        <v>225</v>
      </c>
      <c r="B19" s="91">
        <v>1.7500000000000002E-2</v>
      </c>
    </row>
    <row r="20" spans="1:2">
      <c r="A20" s="96" t="s">
        <v>226</v>
      </c>
      <c r="B20" s="91">
        <v>1.7659999999999999E-2</v>
      </c>
    </row>
    <row r="21" spans="1:2">
      <c r="A21" s="96" t="s">
        <v>227</v>
      </c>
      <c r="B21" s="91">
        <v>1.7399999999999999E-2</v>
      </c>
    </row>
    <row r="22" spans="1:2">
      <c r="A22" s="96" t="s">
        <v>228</v>
      </c>
      <c r="B22" s="91">
        <v>1.7399999999999999E-2</v>
      </c>
    </row>
    <row r="23" spans="1:2">
      <c r="A23" s="96" t="s">
        <v>229</v>
      </c>
      <c r="B23" s="91">
        <v>2.239E-2</v>
      </c>
    </row>
    <row r="24" spans="1:2">
      <c r="A24" s="96" t="s">
        <v>230</v>
      </c>
      <c r="B24" s="91">
        <v>7.1609999999999993E-2</v>
      </c>
    </row>
    <row r="25" spans="1:2">
      <c r="A25" s="96" t="s">
        <v>231</v>
      </c>
      <c r="B25" s="91">
        <v>4.5789999999999997E-2</v>
      </c>
    </row>
    <row r="26" spans="1:2">
      <c r="A26" s="96" t="s">
        <v>232</v>
      </c>
      <c r="B26" s="91">
        <v>0.02</v>
      </c>
    </row>
    <row r="27" spans="1:2">
      <c r="A27" s="96" t="s">
        <v>233</v>
      </c>
      <c r="B27" s="91">
        <v>0.02</v>
      </c>
    </row>
    <row r="28" spans="1:2">
      <c r="A28" s="96" t="s">
        <v>234</v>
      </c>
      <c r="B28" s="91">
        <v>2.2800000000000001E-2</v>
      </c>
    </row>
    <row r="29" spans="1:2">
      <c r="A29" s="96" t="s">
        <v>235</v>
      </c>
      <c r="B29" s="91">
        <v>1.7399999999999999E-2</v>
      </c>
    </row>
    <row r="30" spans="1:2">
      <c r="A30" s="96" t="s">
        <v>236</v>
      </c>
      <c r="B30" s="91">
        <v>2.1559999999999999E-2</v>
      </c>
    </row>
    <row r="31" spans="1:2">
      <c r="A31" s="96" t="s">
        <v>237</v>
      </c>
      <c r="B31" s="91">
        <v>3.5229999999999997E-2</v>
      </c>
    </row>
    <row r="32" spans="1:2">
      <c r="A32" s="96" t="s">
        <v>238</v>
      </c>
      <c r="B32" s="91">
        <v>0.02</v>
      </c>
    </row>
    <row r="33" spans="1:2">
      <c r="A33" s="96" t="s">
        <v>239</v>
      </c>
      <c r="B33" s="91">
        <v>2.75E-2</v>
      </c>
    </row>
    <row r="34" spans="1:2">
      <c r="A34" s="96" t="s">
        <v>240</v>
      </c>
      <c r="B34" s="91">
        <v>1.7399999999999999E-2</v>
      </c>
    </row>
    <row r="35" spans="1:2">
      <c r="A35" s="96" t="s">
        <v>241</v>
      </c>
      <c r="B35" s="91">
        <v>3.5000000000000003E-2</v>
      </c>
    </row>
    <row r="36" spans="1:2">
      <c r="A36" s="96" t="s">
        <v>242</v>
      </c>
      <c r="B36" s="91">
        <v>1.7500000000000002E-2</v>
      </c>
    </row>
    <row r="37" spans="1:2">
      <c r="A37" s="96" t="s">
        <v>243</v>
      </c>
      <c r="B37" s="91">
        <v>2.1000000000000001E-2</v>
      </c>
    </row>
    <row r="38" spans="1:2">
      <c r="A38" s="96" t="s">
        <v>244</v>
      </c>
      <c r="B38" s="91">
        <v>3.0030000000000001E-2</v>
      </c>
    </row>
    <row r="39" spans="1:2">
      <c r="A39" s="96" t="s">
        <v>245</v>
      </c>
      <c r="B39" s="91">
        <v>2.2939999999999999E-2</v>
      </c>
    </row>
    <row r="40" spans="1:2">
      <c r="A40" s="96" t="s">
        <v>246</v>
      </c>
      <c r="B40" s="97">
        <v>2.0420000000000001E-2</v>
      </c>
    </row>
    <row r="41" spans="1:2">
      <c r="A41" s="96" t="s">
        <v>247</v>
      </c>
      <c r="B41" s="91">
        <v>1.7500000000000002E-2</v>
      </c>
    </row>
    <row r="42" spans="1:2">
      <c r="A42" s="96" t="s">
        <v>248</v>
      </c>
      <c r="B42" s="91">
        <v>1.7399999999999999E-2</v>
      </c>
    </row>
    <row r="43" spans="1:2">
      <c r="A43" s="96" t="s">
        <v>249</v>
      </c>
      <c r="B43" s="91">
        <v>2.3210000000000001E-2</v>
      </c>
    </row>
    <row r="44" spans="1:2">
      <c r="A44" s="96" t="s">
        <v>250</v>
      </c>
      <c r="B44" s="91">
        <v>1.7399999999999999E-2</v>
      </c>
    </row>
    <row r="45" spans="1:2">
      <c r="A45" s="96" t="s">
        <v>251</v>
      </c>
      <c r="B45" s="91">
        <v>0.02</v>
      </c>
    </row>
    <row r="46" spans="1:2">
      <c r="A46" s="96" t="s">
        <v>252</v>
      </c>
      <c r="B46" s="91">
        <v>0.02</v>
      </c>
    </row>
    <row r="47" spans="1:2">
      <c r="A47" s="96" t="s">
        <v>253</v>
      </c>
      <c r="B47" s="91">
        <v>3.6940000000000001E-2</v>
      </c>
    </row>
    <row r="48" spans="1:2">
      <c r="A48" s="96" t="s">
        <v>254</v>
      </c>
      <c r="B48" s="91">
        <v>2.5239999999999999E-2</v>
      </c>
    </row>
    <row r="49" spans="1:2">
      <c r="A49" s="96" t="s">
        <v>255</v>
      </c>
      <c r="B49" s="91">
        <v>2.58E-2</v>
      </c>
    </row>
    <row r="50" spans="1:2">
      <c r="A50" s="96" t="s">
        <v>256</v>
      </c>
      <c r="B50" s="91">
        <v>1.7399999999999999E-2</v>
      </c>
    </row>
    <row r="51" spans="1:2">
      <c r="A51" s="96" t="s">
        <v>257</v>
      </c>
      <c r="B51" s="91">
        <v>2.2599999999999999E-2</v>
      </c>
    </row>
    <row r="52" spans="1:2">
      <c r="A52" s="96" t="s">
        <v>258</v>
      </c>
      <c r="B52" s="91">
        <v>0.02</v>
      </c>
    </row>
    <row r="53" spans="1:2">
      <c r="A53" s="96" t="s">
        <v>259</v>
      </c>
      <c r="B53" s="91">
        <v>2.9520000000000001E-2</v>
      </c>
    </row>
    <row r="54" spans="1:2">
      <c r="A54" s="96" t="s">
        <v>260</v>
      </c>
      <c r="B54" s="91">
        <v>0.02</v>
      </c>
    </row>
    <row r="55" spans="1:2">
      <c r="A55" s="96" t="s">
        <v>261</v>
      </c>
      <c r="B55" s="91">
        <v>5.0791999999999997E-2</v>
      </c>
    </row>
    <row r="56" spans="1:2">
      <c r="A56" s="96" t="s">
        <v>262</v>
      </c>
      <c r="B56" s="91">
        <v>1.7399999999999999E-2</v>
      </c>
    </row>
    <row r="57" spans="1:2">
      <c r="A57" s="96" t="s">
        <v>263</v>
      </c>
      <c r="B57" s="91">
        <v>1.7399999999999999E-2</v>
      </c>
    </row>
    <row r="58" spans="1:2">
      <c r="A58" s="91"/>
      <c r="B58" s="91"/>
    </row>
    <row r="61" spans="1:2">
      <c r="A61" s="98" t="s">
        <v>264</v>
      </c>
    </row>
    <row r="62" spans="1:2">
      <c r="A62" s="91" t="s">
        <v>265</v>
      </c>
    </row>
  </sheetData>
  <printOptions horizontalCentered="1"/>
  <pageMargins left="0.1" right="0.1" top="0.35" bottom="0.35" header="0.5" footer="0.5"/>
  <pageSetup scale="95" orientation="portrait" horizontalDpi="300" verticalDpi="3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E39"/>
  <sheetViews>
    <sheetView zoomScale="90" zoomScaleNormal="90" workbookViewId="0">
      <selection activeCell="A5" sqref="A5"/>
    </sheetView>
  </sheetViews>
  <sheetFormatPr defaultRowHeight="12.75"/>
  <cols>
    <col min="1" max="1" width="49.7109375" style="78" bestFit="1" customWidth="1"/>
    <col min="2" max="4" width="11.140625" style="78" bestFit="1" customWidth="1"/>
    <col min="5" max="5" width="14.140625" style="78" bestFit="1" customWidth="1"/>
    <col min="6" max="254" width="9.140625" style="78"/>
    <col min="255" max="255" width="40.7109375" style="78" bestFit="1" customWidth="1"/>
    <col min="256" max="256" width="11.42578125" style="78" bestFit="1" customWidth="1"/>
    <col min="257" max="257" width="11.140625" style="78" bestFit="1" customWidth="1"/>
    <col min="258" max="259" width="13.140625" style="78" bestFit="1" customWidth="1"/>
    <col min="260" max="260" width="11.140625" style="78" bestFit="1" customWidth="1"/>
    <col min="261" max="261" width="14.140625" style="78" bestFit="1" customWidth="1"/>
    <col min="262" max="510" width="9.140625" style="78"/>
    <col min="511" max="511" width="40.7109375" style="78" bestFit="1" customWidth="1"/>
    <col min="512" max="512" width="11.42578125" style="78" bestFit="1" customWidth="1"/>
    <col min="513" max="513" width="11.140625" style="78" bestFit="1" customWidth="1"/>
    <col min="514" max="515" width="13.140625" style="78" bestFit="1" customWidth="1"/>
    <col min="516" max="516" width="11.140625" style="78" bestFit="1" customWidth="1"/>
    <col min="517" max="517" width="14.140625" style="78" bestFit="1" customWidth="1"/>
    <col min="518" max="766" width="9.140625" style="78"/>
    <col min="767" max="767" width="40.7109375" style="78" bestFit="1" customWidth="1"/>
    <col min="768" max="768" width="11.42578125" style="78" bestFit="1" customWidth="1"/>
    <col min="769" max="769" width="11.140625" style="78" bestFit="1" customWidth="1"/>
    <col min="770" max="771" width="13.140625" style="78" bestFit="1" customWidth="1"/>
    <col min="772" max="772" width="11.140625" style="78" bestFit="1" customWidth="1"/>
    <col min="773" max="773" width="14.140625" style="78" bestFit="1" customWidth="1"/>
    <col min="774" max="1022" width="9.140625" style="78"/>
    <col min="1023" max="1023" width="40.7109375" style="78" bestFit="1" customWidth="1"/>
    <col min="1024" max="1024" width="11.42578125" style="78" bestFit="1" customWidth="1"/>
    <col min="1025" max="1025" width="11.140625" style="78" bestFit="1" customWidth="1"/>
    <col min="1026" max="1027" width="13.140625" style="78" bestFit="1" customWidth="1"/>
    <col min="1028" max="1028" width="11.140625" style="78" bestFit="1" customWidth="1"/>
    <col min="1029" max="1029" width="14.140625" style="78" bestFit="1" customWidth="1"/>
    <col min="1030" max="1278" width="9.140625" style="78"/>
    <col min="1279" max="1279" width="40.7109375" style="78" bestFit="1" customWidth="1"/>
    <col min="1280" max="1280" width="11.42578125" style="78" bestFit="1" customWidth="1"/>
    <col min="1281" max="1281" width="11.140625" style="78" bestFit="1" customWidth="1"/>
    <col min="1282" max="1283" width="13.140625" style="78" bestFit="1" customWidth="1"/>
    <col min="1284" max="1284" width="11.140625" style="78" bestFit="1" customWidth="1"/>
    <col min="1285" max="1285" width="14.140625" style="78" bestFit="1" customWidth="1"/>
    <col min="1286" max="1534" width="9.140625" style="78"/>
    <col min="1535" max="1535" width="40.7109375" style="78" bestFit="1" customWidth="1"/>
    <col min="1536" max="1536" width="11.42578125" style="78" bestFit="1" customWidth="1"/>
    <col min="1537" max="1537" width="11.140625" style="78" bestFit="1" customWidth="1"/>
    <col min="1538" max="1539" width="13.140625" style="78" bestFit="1" customWidth="1"/>
    <col min="1540" max="1540" width="11.140625" style="78" bestFit="1" customWidth="1"/>
    <col min="1541" max="1541" width="14.140625" style="78" bestFit="1" customWidth="1"/>
    <col min="1542" max="1790" width="9.140625" style="78"/>
    <col min="1791" max="1791" width="40.7109375" style="78" bestFit="1" customWidth="1"/>
    <col min="1792" max="1792" width="11.42578125" style="78" bestFit="1" customWidth="1"/>
    <col min="1793" max="1793" width="11.140625" style="78" bestFit="1" customWidth="1"/>
    <col min="1794" max="1795" width="13.140625" style="78" bestFit="1" customWidth="1"/>
    <col min="1796" max="1796" width="11.140625" style="78" bestFit="1" customWidth="1"/>
    <col min="1797" max="1797" width="14.140625" style="78" bestFit="1" customWidth="1"/>
    <col min="1798" max="2046" width="9.140625" style="78"/>
    <col min="2047" max="2047" width="40.7109375" style="78" bestFit="1" customWidth="1"/>
    <col min="2048" max="2048" width="11.42578125" style="78" bestFit="1" customWidth="1"/>
    <col min="2049" max="2049" width="11.140625" style="78" bestFit="1" customWidth="1"/>
    <col min="2050" max="2051" width="13.140625" style="78" bestFit="1" customWidth="1"/>
    <col min="2052" max="2052" width="11.140625" style="78" bestFit="1" customWidth="1"/>
    <col min="2053" max="2053" width="14.140625" style="78" bestFit="1" customWidth="1"/>
    <col min="2054" max="2302" width="9.140625" style="78"/>
    <col min="2303" max="2303" width="40.7109375" style="78" bestFit="1" customWidth="1"/>
    <col min="2304" max="2304" width="11.42578125" style="78" bestFit="1" customWidth="1"/>
    <col min="2305" max="2305" width="11.140625" style="78" bestFit="1" customWidth="1"/>
    <col min="2306" max="2307" width="13.140625" style="78" bestFit="1" customWidth="1"/>
    <col min="2308" max="2308" width="11.140625" style="78" bestFit="1" customWidth="1"/>
    <col min="2309" max="2309" width="14.140625" style="78" bestFit="1" customWidth="1"/>
    <col min="2310" max="2558" width="9.140625" style="78"/>
    <col min="2559" max="2559" width="40.7109375" style="78" bestFit="1" customWidth="1"/>
    <col min="2560" max="2560" width="11.42578125" style="78" bestFit="1" customWidth="1"/>
    <col min="2561" max="2561" width="11.140625" style="78" bestFit="1" customWidth="1"/>
    <col min="2562" max="2563" width="13.140625" style="78" bestFit="1" customWidth="1"/>
    <col min="2564" max="2564" width="11.140625" style="78" bestFit="1" customWidth="1"/>
    <col min="2565" max="2565" width="14.140625" style="78" bestFit="1" customWidth="1"/>
    <col min="2566" max="2814" width="9.140625" style="78"/>
    <col min="2815" max="2815" width="40.7109375" style="78" bestFit="1" customWidth="1"/>
    <col min="2816" max="2816" width="11.42578125" style="78" bestFit="1" customWidth="1"/>
    <col min="2817" max="2817" width="11.140625" style="78" bestFit="1" customWidth="1"/>
    <col min="2818" max="2819" width="13.140625" style="78" bestFit="1" customWidth="1"/>
    <col min="2820" max="2820" width="11.140625" style="78" bestFit="1" customWidth="1"/>
    <col min="2821" max="2821" width="14.140625" style="78" bestFit="1" customWidth="1"/>
    <col min="2822" max="3070" width="9.140625" style="78"/>
    <col min="3071" max="3071" width="40.7109375" style="78" bestFit="1" customWidth="1"/>
    <col min="3072" max="3072" width="11.42578125" style="78" bestFit="1" customWidth="1"/>
    <col min="3073" max="3073" width="11.140625" style="78" bestFit="1" customWidth="1"/>
    <col min="3074" max="3075" width="13.140625" style="78" bestFit="1" customWidth="1"/>
    <col min="3076" max="3076" width="11.140625" style="78" bestFit="1" customWidth="1"/>
    <col min="3077" max="3077" width="14.140625" style="78" bestFit="1" customWidth="1"/>
    <col min="3078" max="3326" width="9.140625" style="78"/>
    <col min="3327" max="3327" width="40.7109375" style="78" bestFit="1" customWidth="1"/>
    <col min="3328" max="3328" width="11.42578125" style="78" bestFit="1" customWidth="1"/>
    <col min="3329" max="3329" width="11.140625" style="78" bestFit="1" customWidth="1"/>
    <col min="3330" max="3331" width="13.140625" style="78" bestFit="1" customWidth="1"/>
    <col min="3332" max="3332" width="11.140625" style="78" bestFit="1" customWidth="1"/>
    <col min="3333" max="3333" width="14.140625" style="78" bestFit="1" customWidth="1"/>
    <col min="3334" max="3582" width="9.140625" style="78"/>
    <col min="3583" max="3583" width="40.7109375" style="78" bestFit="1" customWidth="1"/>
    <col min="3584" max="3584" width="11.42578125" style="78" bestFit="1" customWidth="1"/>
    <col min="3585" max="3585" width="11.140625" style="78" bestFit="1" customWidth="1"/>
    <col min="3586" max="3587" width="13.140625" style="78" bestFit="1" customWidth="1"/>
    <col min="3588" max="3588" width="11.140625" style="78" bestFit="1" customWidth="1"/>
    <col min="3589" max="3589" width="14.140625" style="78" bestFit="1" customWidth="1"/>
    <col min="3590" max="3838" width="9.140625" style="78"/>
    <col min="3839" max="3839" width="40.7109375" style="78" bestFit="1" customWidth="1"/>
    <col min="3840" max="3840" width="11.42578125" style="78" bestFit="1" customWidth="1"/>
    <col min="3841" max="3841" width="11.140625" style="78" bestFit="1" customWidth="1"/>
    <col min="3842" max="3843" width="13.140625" style="78" bestFit="1" customWidth="1"/>
    <col min="3844" max="3844" width="11.140625" style="78" bestFit="1" customWidth="1"/>
    <col min="3845" max="3845" width="14.140625" style="78" bestFit="1" customWidth="1"/>
    <col min="3846" max="4094" width="9.140625" style="78"/>
    <col min="4095" max="4095" width="40.7109375" style="78" bestFit="1" customWidth="1"/>
    <col min="4096" max="4096" width="11.42578125" style="78" bestFit="1" customWidth="1"/>
    <col min="4097" max="4097" width="11.140625" style="78" bestFit="1" customWidth="1"/>
    <col min="4098" max="4099" width="13.140625" style="78" bestFit="1" customWidth="1"/>
    <col min="4100" max="4100" width="11.140625" style="78" bestFit="1" customWidth="1"/>
    <col min="4101" max="4101" width="14.140625" style="78" bestFit="1" customWidth="1"/>
    <col min="4102" max="4350" width="9.140625" style="78"/>
    <col min="4351" max="4351" width="40.7109375" style="78" bestFit="1" customWidth="1"/>
    <col min="4352" max="4352" width="11.42578125" style="78" bestFit="1" customWidth="1"/>
    <col min="4353" max="4353" width="11.140625" style="78" bestFit="1" customWidth="1"/>
    <col min="4354" max="4355" width="13.140625" style="78" bestFit="1" customWidth="1"/>
    <col min="4356" max="4356" width="11.140625" style="78" bestFit="1" customWidth="1"/>
    <col min="4357" max="4357" width="14.140625" style="78" bestFit="1" customWidth="1"/>
    <col min="4358" max="4606" width="9.140625" style="78"/>
    <col min="4607" max="4607" width="40.7109375" style="78" bestFit="1" customWidth="1"/>
    <col min="4608" max="4608" width="11.42578125" style="78" bestFit="1" customWidth="1"/>
    <col min="4609" max="4609" width="11.140625" style="78" bestFit="1" customWidth="1"/>
    <col min="4610" max="4611" width="13.140625" style="78" bestFit="1" customWidth="1"/>
    <col min="4612" max="4612" width="11.140625" style="78" bestFit="1" customWidth="1"/>
    <col min="4613" max="4613" width="14.140625" style="78" bestFit="1" customWidth="1"/>
    <col min="4614" max="4862" width="9.140625" style="78"/>
    <col min="4863" max="4863" width="40.7109375" style="78" bestFit="1" customWidth="1"/>
    <col min="4864" max="4864" width="11.42578125" style="78" bestFit="1" customWidth="1"/>
    <col min="4865" max="4865" width="11.140625" style="78" bestFit="1" customWidth="1"/>
    <col min="4866" max="4867" width="13.140625" style="78" bestFit="1" customWidth="1"/>
    <col min="4868" max="4868" width="11.140625" style="78" bestFit="1" customWidth="1"/>
    <col min="4869" max="4869" width="14.140625" style="78" bestFit="1" customWidth="1"/>
    <col min="4870" max="5118" width="9.140625" style="78"/>
    <col min="5119" max="5119" width="40.7109375" style="78" bestFit="1" customWidth="1"/>
    <col min="5120" max="5120" width="11.42578125" style="78" bestFit="1" customWidth="1"/>
    <col min="5121" max="5121" width="11.140625" style="78" bestFit="1" customWidth="1"/>
    <col min="5122" max="5123" width="13.140625" style="78" bestFit="1" customWidth="1"/>
    <col min="5124" max="5124" width="11.140625" style="78" bestFit="1" customWidth="1"/>
    <col min="5125" max="5125" width="14.140625" style="78" bestFit="1" customWidth="1"/>
    <col min="5126" max="5374" width="9.140625" style="78"/>
    <col min="5375" max="5375" width="40.7109375" style="78" bestFit="1" customWidth="1"/>
    <col min="5376" max="5376" width="11.42578125" style="78" bestFit="1" customWidth="1"/>
    <col min="5377" max="5377" width="11.140625" style="78" bestFit="1" customWidth="1"/>
    <col min="5378" max="5379" width="13.140625" style="78" bestFit="1" customWidth="1"/>
    <col min="5380" max="5380" width="11.140625" style="78" bestFit="1" customWidth="1"/>
    <col min="5381" max="5381" width="14.140625" style="78" bestFit="1" customWidth="1"/>
    <col min="5382" max="5630" width="9.140625" style="78"/>
    <col min="5631" max="5631" width="40.7109375" style="78" bestFit="1" customWidth="1"/>
    <col min="5632" max="5632" width="11.42578125" style="78" bestFit="1" customWidth="1"/>
    <col min="5633" max="5633" width="11.140625" style="78" bestFit="1" customWidth="1"/>
    <col min="5634" max="5635" width="13.140625" style="78" bestFit="1" customWidth="1"/>
    <col min="5636" max="5636" width="11.140625" style="78" bestFit="1" customWidth="1"/>
    <col min="5637" max="5637" width="14.140625" style="78" bestFit="1" customWidth="1"/>
    <col min="5638" max="5886" width="9.140625" style="78"/>
    <col min="5887" max="5887" width="40.7109375" style="78" bestFit="1" customWidth="1"/>
    <col min="5888" max="5888" width="11.42578125" style="78" bestFit="1" customWidth="1"/>
    <col min="5889" max="5889" width="11.140625" style="78" bestFit="1" customWidth="1"/>
    <col min="5890" max="5891" width="13.140625" style="78" bestFit="1" customWidth="1"/>
    <col min="5892" max="5892" width="11.140625" style="78" bestFit="1" customWidth="1"/>
    <col min="5893" max="5893" width="14.140625" style="78" bestFit="1" customWidth="1"/>
    <col min="5894" max="6142" width="9.140625" style="78"/>
    <col min="6143" max="6143" width="40.7109375" style="78" bestFit="1" customWidth="1"/>
    <col min="6144" max="6144" width="11.42578125" style="78" bestFit="1" customWidth="1"/>
    <col min="6145" max="6145" width="11.140625" style="78" bestFit="1" customWidth="1"/>
    <col min="6146" max="6147" width="13.140625" style="78" bestFit="1" customWidth="1"/>
    <col min="6148" max="6148" width="11.140625" style="78" bestFit="1" customWidth="1"/>
    <col min="6149" max="6149" width="14.140625" style="78" bestFit="1" customWidth="1"/>
    <col min="6150" max="6398" width="9.140625" style="78"/>
    <col min="6399" max="6399" width="40.7109375" style="78" bestFit="1" customWidth="1"/>
    <col min="6400" max="6400" width="11.42578125" style="78" bestFit="1" customWidth="1"/>
    <col min="6401" max="6401" width="11.140625" style="78" bestFit="1" customWidth="1"/>
    <col min="6402" max="6403" width="13.140625" style="78" bestFit="1" customWidth="1"/>
    <col min="6404" max="6404" width="11.140625" style="78" bestFit="1" customWidth="1"/>
    <col min="6405" max="6405" width="14.140625" style="78" bestFit="1" customWidth="1"/>
    <col min="6406" max="6654" width="9.140625" style="78"/>
    <col min="6655" max="6655" width="40.7109375" style="78" bestFit="1" customWidth="1"/>
    <col min="6656" max="6656" width="11.42578125" style="78" bestFit="1" customWidth="1"/>
    <col min="6657" max="6657" width="11.140625" style="78" bestFit="1" customWidth="1"/>
    <col min="6658" max="6659" width="13.140625" style="78" bestFit="1" customWidth="1"/>
    <col min="6660" max="6660" width="11.140625" style="78" bestFit="1" customWidth="1"/>
    <col min="6661" max="6661" width="14.140625" style="78" bestFit="1" customWidth="1"/>
    <col min="6662" max="6910" width="9.140625" style="78"/>
    <col min="6911" max="6911" width="40.7109375" style="78" bestFit="1" customWidth="1"/>
    <col min="6912" max="6912" width="11.42578125" style="78" bestFit="1" customWidth="1"/>
    <col min="6913" max="6913" width="11.140625" style="78" bestFit="1" customWidth="1"/>
    <col min="6914" max="6915" width="13.140625" style="78" bestFit="1" customWidth="1"/>
    <col min="6916" max="6916" width="11.140625" style="78" bestFit="1" customWidth="1"/>
    <col min="6917" max="6917" width="14.140625" style="78" bestFit="1" customWidth="1"/>
    <col min="6918" max="7166" width="9.140625" style="78"/>
    <col min="7167" max="7167" width="40.7109375" style="78" bestFit="1" customWidth="1"/>
    <col min="7168" max="7168" width="11.42578125" style="78" bestFit="1" customWidth="1"/>
    <col min="7169" max="7169" width="11.140625" style="78" bestFit="1" customWidth="1"/>
    <col min="7170" max="7171" width="13.140625" style="78" bestFit="1" customWidth="1"/>
    <col min="7172" max="7172" width="11.140625" style="78" bestFit="1" customWidth="1"/>
    <col min="7173" max="7173" width="14.140625" style="78" bestFit="1" customWidth="1"/>
    <col min="7174" max="7422" width="9.140625" style="78"/>
    <col min="7423" max="7423" width="40.7109375" style="78" bestFit="1" customWidth="1"/>
    <col min="7424" max="7424" width="11.42578125" style="78" bestFit="1" customWidth="1"/>
    <col min="7425" max="7425" width="11.140625" style="78" bestFit="1" customWidth="1"/>
    <col min="7426" max="7427" width="13.140625" style="78" bestFit="1" customWidth="1"/>
    <col min="7428" max="7428" width="11.140625" style="78" bestFit="1" customWidth="1"/>
    <col min="7429" max="7429" width="14.140625" style="78" bestFit="1" customWidth="1"/>
    <col min="7430" max="7678" width="9.140625" style="78"/>
    <col min="7679" max="7679" width="40.7109375" style="78" bestFit="1" customWidth="1"/>
    <col min="7680" max="7680" width="11.42578125" style="78" bestFit="1" customWidth="1"/>
    <col min="7681" max="7681" width="11.140625" style="78" bestFit="1" customWidth="1"/>
    <col min="7682" max="7683" width="13.140625" style="78" bestFit="1" customWidth="1"/>
    <col min="7684" max="7684" width="11.140625" style="78" bestFit="1" customWidth="1"/>
    <col min="7685" max="7685" width="14.140625" style="78" bestFit="1" customWidth="1"/>
    <col min="7686" max="7934" width="9.140625" style="78"/>
    <col min="7935" max="7935" width="40.7109375" style="78" bestFit="1" customWidth="1"/>
    <col min="7936" max="7936" width="11.42578125" style="78" bestFit="1" customWidth="1"/>
    <col min="7937" max="7937" width="11.140625" style="78" bestFit="1" customWidth="1"/>
    <col min="7938" max="7939" width="13.140625" style="78" bestFit="1" customWidth="1"/>
    <col min="7940" max="7940" width="11.140625" style="78" bestFit="1" customWidth="1"/>
    <col min="7941" max="7941" width="14.140625" style="78" bestFit="1" customWidth="1"/>
    <col min="7942" max="8190" width="9.140625" style="78"/>
    <col min="8191" max="8191" width="40.7109375" style="78" bestFit="1" customWidth="1"/>
    <col min="8192" max="8192" width="11.42578125" style="78" bestFit="1" customWidth="1"/>
    <col min="8193" max="8193" width="11.140625" style="78" bestFit="1" customWidth="1"/>
    <col min="8194" max="8195" width="13.140625" style="78" bestFit="1" customWidth="1"/>
    <col min="8196" max="8196" width="11.140625" style="78" bestFit="1" customWidth="1"/>
    <col min="8197" max="8197" width="14.140625" style="78" bestFit="1" customWidth="1"/>
    <col min="8198" max="8446" width="9.140625" style="78"/>
    <col min="8447" max="8447" width="40.7109375" style="78" bestFit="1" customWidth="1"/>
    <col min="8448" max="8448" width="11.42578125" style="78" bestFit="1" customWidth="1"/>
    <col min="8449" max="8449" width="11.140625" style="78" bestFit="1" customWidth="1"/>
    <col min="8450" max="8451" width="13.140625" style="78" bestFit="1" customWidth="1"/>
    <col min="8452" max="8452" width="11.140625" style="78" bestFit="1" customWidth="1"/>
    <col min="8453" max="8453" width="14.140625" style="78" bestFit="1" customWidth="1"/>
    <col min="8454" max="8702" width="9.140625" style="78"/>
    <col min="8703" max="8703" width="40.7109375" style="78" bestFit="1" customWidth="1"/>
    <col min="8704" max="8704" width="11.42578125" style="78" bestFit="1" customWidth="1"/>
    <col min="8705" max="8705" width="11.140625" style="78" bestFit="1" customWidth="1"/>
    <col min="8706" max="8707" width="13.140625" style="78" bestFit="1" customWidth="1"/>
    <col min="8708" max="8708" width="11.140625" style="78" bestFit="1" customWidth="1"/>
    <col min="8709" max="8709" width="14.140625" style="78" bestFit="1" customWidth="1"/>
    <col min="8710" max="8958" width="9.140625" style="78"/>
    <col min="8959" max="8959" width="40.7109375" style="78" bestFit="1" customWidth="1"/>
    <col min="8960" max="8960" width="11.42578125" style="78" bestFit="1" customWidth="1"/>
    <col min="8961" max="8961" width="11.140625" style="78" bestFit="1" customWidth="1"/>
    <col min="8962" max="8963" width="13.140625" style="78" bestFit="1" customWidth="1"/>
    <col min="8964" max="8964" width="11.140625" style="78" bestFit="1" customWidth="1"/>
    <col min="8965" max="8965" width="14.140625" style="78" bestFit="1" customWidth="1"/>
    <col min="8966" max="9214" width="9.140625" style="78"/>
    <col min="9215" max="9215" width="40.7109375" style="78" bestFit="1" customWidth="1"/>
    <col min="9216" max="9216" width="11.42578125" style="78" bestFit="1" customWidth="1"/>
    <col min="9217" max="9217" width="11.140625" style="78" bestFit="1" customWidth="1"/>
    <col min="9218" max="9219" width="13.140625" style="78" bestFit="1" customWidth="1"/>
    <col min="9220" max="9220" width="11.140625" style="78" bestFit="1" customWidth="1"/>
    <col min="9221" max="9221" width="14.140625" style="78" bestFit="1" customWidth="1"/>
    <col min="9222" max="9470" width="9.140625" style="78"/>
    <col min="9471" max="9471" width="40.7109375" style="78" bestFit="1" customWidth="1"/>
    <col min="9472" max="9472" width="11.42578125" style="78" bestFit="1" customWidth="1"/>
    <col min="9473" max="9473" width="11.140625" style="78" bestFit="1" customWidth="1"/>
    <col min="9474" max="9475" width="13.140625" style="78" bestFit="1" customWidth="1"/>
    <col min="9476" max="9476" width="11.140625" style="78" bestFit="1" customWidth="1"/>
    <col min="9477" max="9477" width="14.140625" style="78" bestFit="1" customWidth="1"/>
    <col min="9478" max="9726" width="9.140625" style="78"/>
    <col min="9727" max="9727" width="40.7109375" style="78" bestFit="1" customWidth="1"/>
    <col min="9728" max="9728" width="11.42578125" style="78" bestFit="1" customWidth="1"/>
    <col min="9729" max="9729" width="11.140625" style="78" bestFit="1" customWidth="1"/>
    <col min="9730" max="9731" width="13.140625" style="78" bestFit="1" customWidth="1"/>
    <col min="9732" max="9732" width="11.140625" style="78" bestFit="1" customWidth="1"/>
    <col min="9733" max="9733" width="14.140625" style="78" bestFit="1" customWidth="1"/>
    <col min="9734" max="9982" width="9.140625" style="78"/>
    <col min="9983" max="9983" width="40.7109375" style="78" bestFit="1" customWidth="1"/>
    <col min="9984" max="9984" width="11.42578125" style="78" bestFit="1" customWidth="1"/>
    <col min="9985" max="9985" width="11.140625" style="78" bestFit="1" customWidth="1"/>
    <col min="9986" max="9987" width="13.140625" style="78" bestFit="1" customWidth="1"/>
    <col min="9988" max="9988" width="11.140625" style="78" bestFit="1" customWidth="1"/>
    <col min="9989" max="9989" width="14.140625" style="78" bestFit="1" customWidth="1"/>
    <col min="9990" max="10238" width="9.140625" style="78"/>
    <col min="10239" max="10239" width="40.7109375" style="78" bestFit="1" customWidth="1"/>
    <col min="10240" max="10240" width="11.42578125" style="78" bestFit="1" customWidth="1"/>
    <col min="10241" max="10241" width="11.140625" style="78" bestFit="1" customWidth="1"/>
    <col min="10242" max="10243" width="13.140625" style="78" bestFit="1" customWidth="1"/>
    <col min="10244" max="10244" width="11.140625" style="78" bestFit="1" customWidth="1"/>
    <col min="10245" max="10245" width="14.140625" style="78" bestFit="1" customWidth="1"/>
    <col min="10246" max="10494" width="9.140625" style="78"/>
    <col min="10495" max="10495" width="40.7109375" style="78" bestFit="1" customWidth="1"/>
    <col min="10496" max="10496" width="11.42578125" style="78" bestFit="1" customWidth="1"/>
    <col min="10497" max="10497" width="11.140625" style="78" bestFit="1" customWidth="1"/>
    <col min="10498" max="10499" width="13.140625" style="78" bestFit="1" customWidth="1"/>
    <col min="10500" max="10500" width="11.140625" style="78" bestFit="1" customWidth="1"/>
    <col min="10501" max="10501" width="14.140625" style="78" bestFit="1" customWidth="1"/>
    <col min="10502" max="10750" width="9.140625" style="78"/>
    <col min="10751" max="10751" width="40.7109375" style="78" bestFit="1" customWidth="1"/>
    <col min="10752" max="10752" width="11.42578125" style="78" bestFit="1" customWidth="1"/>
    <col min="10753" max="10753" width="11.140625" style="78" bestFit="1" customWidth="1"/>
    <col min="10754" max="10755" width="13.140625" style="78" bestFit="1" customWidth="1"/>
    <col min="10756" max="10756" width="11.140625" style="78" bestFit="1" customWidth="1"/>
    <col min="10757" max="10757" width="14.140625" style="78" bestFit="1" customWidth="1"/>
    <col min="10758" max="11006" width="9.140625" style="78"/>
    <col min="11007" max="11007" width="40.7109375" style="78" bestFit="1" customWidth="1"/>
    <col min="11008" max="11008" width="11.42578125" style="78" bestFit="1" customWidth="1"/>
    <col min="11009" max="11009" width="11.140625" style="78" bestFit="1" customWidth="1"/>
    <col min="11010" max="11011" width="13.140625" style="78" bestFit="1" customWidth="1"/>
    <col min="11012" max="11012" width="11.140625" style="78" bestFit="1" customWidth="1"/>
    <col min="11013" max="11013" width="14.140625" style="78" bestFit="1" customWidth="1"/>
    <col min="11014" max="11262" width="9.140625" style="78"/>
    <col min="11263" max="11263" width="40.7109375" style="78" bestFit="1" customWidth="1"/>
    <col min="11264" max="11264" width="11.42578125" style="78" bestFit="1" customWidth="1"/>
    <col min="11265" max="11265" width="11.140625" style="78" bestFit="1" customWidth="1"/>
    <col min="11266" max="11267" width="13.140625" style="78" bestFit="1" customWidth="1"/>
    <col min="11268" max="11268" width="11.140625" style="78" bestFit="1" customWidth="1"/>
    <col min="11269" max="11269" width="14.140625" style="78" bestFit="1" customWidth="1"/>
    <col min="11270" max="11518" width="9.140625" style="78"/>
    <col min="11519" max="11519" width="40.7109375" style="78" bestFit="1" customWidth="1"/>
    <col min="11520" max="11520" width="11.42578125" style="78" bestFit="1" customWidth="1"/>
    <col min="11521" max="11521" width="11.140625" style="78" bestFit="1" customWidth="1"/>
    <col min="11522" max="11523" width="13.140625" style="78" bestFit="1" customWidth="1"/>
    <col min="11524" max="11524" width="11.140625" style="78" bestFit="1" customWidth="1"/>
    <col min="11525" max="11525" width="14.140625" style="78" bestFit="1" customWidth="1"/>
    <col min="11526" max="11774" width="9.140625" style="78"/>
    <col min="11775" max="11775" width="40.7109375" style="78" bestFit="1" customWidth="1"/>
    <col min="11776" max="11776" width="11.42578125" style="78" bestFit="1" customWidth="1"/>
    <col min="11777" max="11777" width="11.140625" style="78" bestFit="1" customWidth="1"/>
    <col min="11778" max="11779" width="13.140625" style="78" bestFit="1" customWidth="1"/>
    <col min="11780" max="11780" width="11.140625" style="78" bestFit="1" customWidth="1"/>
    <col min="11781" max="11781" width="14.140625" style="78" bestFit="1" customWidth="1"/>
    <col min="11782" max="12030" width="9.140625" style="78"/>
    <col min="12031" max="12031" width="40.7109375" style="78" bestFit="1" customWidth="1"/>
    <col min="12032" max="12032" width="11.42578125" style="78" bestFit="1" customWidth="1"/>
    <col min="12033" max="12033" width="11.140625" style="78" bestFit="1" customWidth="1"/>
    <col min="12034" max="12035" width="13.140625" style="78" bestFit="1" customWidth="1"/>
    <col min="12036" max="12036" width="11.140625" style="78" bestFit="1" customWidth="1"/>
    <col min="12037" max="12037" width="14.140625" style="78" bestFit="1" customWidth="1"/>
    <col min="12038" max="12286" width="9.140625" style="78"/>
    <col min="12287" max="12287" width="40.7109375" style="78" bestFit="1" customWidth="1"/>
    <col min="12288" max="12288" width="11.42578125" style="78" bestFit="1" customWidth="1"/>
    <col min="12289" max="12289" width="11.140625" style="78" bestFit="1" customWidth="1"/>
    <col min="12290" max="12291" width="13.140625" style="78" bestFit="1" customWidth="1"/>
    <col min="12292" max="12292" width="11.140625" style="78" bestFit="1" customWidth="1"/>
    <col min="12293" max="12293" width="14.140625" style="78" bestFit="1" customWidth="1"/>
    <col min="12294" max="12542" width="9.140625" style="78"/>
    <col min="12543" max="12543" width="40.7109375" style="78" bestFit="1" customWidth="1"/>
    <col min="12544" max="12544" width="11.42578125" style="78" bestFit="1" customWidth="1"/>
    <col min="12545" max="12545" width="11.140625" style="78" bestFit="1" customWidth="1"/>
    <col min="12546" max="12547" width="13.140625" style="78" bestFit="1" customWidth="1"/>
    <col min="12548" max="12548" width="11.140625" style="78" bestFit="1" customWidth="1"/>
    <col min="12549" max="12549" width="14.140625" style="78" bestFit="1" customWidth="1"/>
    <col min="12550" max="12798" width="9.140625" style="78"/>
    <col min="12799" max="12799" width="40.7109375" style="78" bestFit="1" customWidth="1"/>
    <col min="12800" max="12800" width="11.42578125" style="78" bestFit="1" customWidth="1"/>
    <col min="12801" max="12801" width="11.140625" style="78" bestFit="1" customWidth="1"/>
    <col min="12802" max="12803" width="13.140625" style="78" bestFit="1" customWidth="1"/>
    <col min="12804" max="12804" width="11.140625" style="78" bestFit="1" customWidth="1"/>
    <col min="12805" max="12805" width="14.140625" style="78" bestFit="1" customWidth="1"/>
    <col min="12806" max="13054" width="9.140625" style="78"/>
    <col min="13055" max="13055" width="40.7109375" style="78" bestFit="1" customWidth="1"/>
    <col min="13056" max="13056" width="11.42578125" style="78" bestFit="1" customWidth="1"/>
    <col min="13057" max="13057" width="11.140625" style="78" bestFit="1" customWidth="1"/>
    <col min="13058" max="13059" width="13.140625" style="78" bestFit="1" customWidth="1"/>
    <col min="13060" max="13060" width="11.140625" style="78" bestFit="1" customWidth="1"/>
    <col min="13061" max="13061" width="14.140625" style="78" bestFit="1" customWidth="1"/>
    <col min="13062" max="13310" width="9.140625" style="78"/>
    <col min="13311" max="13311" width="40.7109375" style="78" bestFit="1" customWidth="1"/>
    <col min="13312" max="13312" width="11.42578125" style="78" bestFit="1" customWidth="1"/>
    <col min="13313" max="13313" width="11.140625" style="78" bestFit="1" customWidth="1"/>
    <col min="13314" max="13315" width="13.140625" style="78" bestFit="1" customWidth="1"/>
    <col min="13316" max="13316" width="11.140625" style="78" bestFit="1" customWidth="1"/>
    <col min="13317" max="13317" width="14.140625" style="78" bestFit="1" customWidth="1"/>
    <col min="13318" max="13566" width="9.140625" style="78"/>
    <col min="13567" max="13567" width="40.7109375" style="78" bestFit="1" customWidth="1"/>
    <col min="13568" max="13568" width="11.42578125" style="78" bestFit="1" customWidth="1"/>
    <col min="13569" max="13569" width="11.140625" style="78" bestFit="1" customWidth="1"/>
    <col min="13570" max="13571" width="13.140625" style="78" bestFit="1" customWidth="1"/>
    <col min="13572" max="13572" width="11.140625" style="78" bestFit="1" customWidth="1"/>
    <col min="13573" max="13573" width="14.140625" style="78" bestFit="1" customWidth="1"/>
    <col min="13574" max="13822" width="9.140625" style="78"/>
    <col min="13823" max="13823" width="40.7109375" style="78" bestFit="1" customWidth="1"/>
    <col min="13824" max="13824" width="11.42578125" style="78" bestFit="1" customWidth="1"/>
    <col min="13825" max="13825" width="11.140625" style="78" bestFit="1" customWidth="1"/>
    <col min="13826" max="13827" width="13.140625" style="78" bestFit="1" customWidth="1"/>
    <col min="13828" max="13828" width="11.140625" style="78" bestFit="1" customWidth="1"/>
    <col min="13829" max="13829" width="14.140625" style="78" bestFit="1" customWidth="1"/>
    <col min="13830" max="14078" width="9.140625" style="78"/>
    <col min="14079" max="14079" width="40.7109375" style="78" bestFit="1" customWidth="1"/>
    <col min="14080" max="14080" width="11.42578125" style="78" bestFit="1" customWidth="1"/>
    <col min="14081" max="14081" width="11.140625" style="78" bestFit="1" customWidth="1"/>
    <col min="14082" max="14083" width="13.140625" style="78" bestFit="1" customWidth="1"/>
    <col min="14084" max="14084" width="11.140625" style="78" bestFit="1" customWidth="1"/>
    <col min="14085" max="14085" width="14.140625" style="78" bestFit="1" customWidth="1"/>
    <col min="14086" max="14334" width="9.140625" style="78"/>
    <col min="14335" max="14335" width="40.7109375" style="78" bestFit="1" customWidth="1"/>
    <col min="14336" max="14336" width="11.42578125" style="78" bestFit="1" customWidth="1"/>
    <col min="14337" max="14337" width="11.140625" style="78" bestFit="1" customWidth="1"/>
    <col min="14338" max="14339" width="13.140625" style="78" bestFit="1" customWidth="1"/>
    <col min="14340" max="14340" width="11.140625" style="78" bestFit="1" customWidth="1"/>
    <col min="14341" max="14341" width="14.140625" style="78" bestFit="1" customWidth="1"/>
    <col min="14342" max="14590" width="9.140625" style="78"/>
    <col min="14591" max="14591" width="40.7109375" style="78" bestFit="1" customWidth="1"/>
    <col min="14592" max="14592" width="11.42578125" style="78" bestFit="1" customWidth="1"/>
    <col min="14593" max="14593" width="11.140625" style="78" bestFit="1" customWidth="1"/>
    <col min="14594" max="14595" width="13.140625" style="78" bestFit="1" customWidth="1"/>
    <col min="14596" max="14596" width="11.140625" style="78" bestFit="1" customWidth="1"/>
    <col min="14597" max="14597" width="14.140625" style="78" bestFit="1" customWidth="1"/>
    <col min="14598" max="14846" width="9.140625" style="78"/>
    <col min="14847" max="14847" width="40.7109375" style="78" bestFit="1" customWidth="1"/>
    <col min="14848" max="14848" width="11.42578125" style="78" bestFit="1" customWidth="1"/>
    <col min="14849" max="14849" width="11.140625" style="78" bestFit="1" customWidth="1"/>
    <col min="14850" max="14851" width="13.140625" style="78" bestFit="1" customWidth="1"/>
    <col min="14852" max="14852" width="11.140625" style="78" bestFit="1" customWidth="1"/>
    <col min="14853" max="14853" width="14.140625" style="78" bestFit="1" customWidth="1"/>
    <col min="14854" max="15102" width="9.140625" style="78"/>
    <col min="15103" max="15103" width="40.7109375" style="78" bestFit="1" customWidth="1"/>
    <col min="15104" max="15104" width="11.42578125" style="78" bestFit="1" customWidth="1"/>
    <col min="15105" max="15105" width="11.140625" style="78" bestFit="1" customWidth="1"/>
    <col min="15106" max="15107" width="13.140625" style="78" bestFit="1" customWidth="1"/>
    <col min="15108" max="15108" width="11.140625" style="78" bestFit="1" customWidth="1"/>
    <col min="15109" max="15109" width="14.140625" style="78" bestFit="1" customWidth="1"/>
    <col min="15110" max="15358" width="9.140625" style="78"/>
    <col min="15359" max="15359" width="40.7109375" style="78" bestFit="1" customWidth="1"/>
    <col min="15360" max="15360" width="11.42578125" style="78" bestFit="1" customWidth="1"/>
    <col min="15361" max="15361" width="11.140625" style="78" bestFit="1" customWidth="1"/>
    <col min="15362" max="15363" width="13.140625" style="78" bestFit="1" customWidth="1"/>
    <col min="15364" max="15364" width="11.140625" style="78" bestFit="1" customWidth="1"/>
    <col min="15365" max="15365" width="14.140625" style="78" bestFit="1" customWidth="1"/>
    <col min="15366" max="15614" width="9.140625" style="78"/>
    <col min="15615" max="15615" width="40.7109375" style="78" bestFit="1" customWidth="1"/>
    <col min="15616" max="15616" width="11.42578125" style="78" bestFit="1" customWidth="1"/>
    <col min="15617" max="15617" width="11.140625" style="78" bestFit="1" customWidth="1"/>
    <col min="15618" max="15619" width="13.140625" style="78" bestFit="1" customWidth="1"/>
    <col min="15620" max="15620" width="11.140625" style="78" bestFit="1" customWidth="1"/>
    <col min="15621" max="15621" width="14.140625" style="78" bestFit="1" customWidth="1"/>
    <col min="15622" max="15870" width="9.140625" style="78"/>
    <col min="15871" max="15871" width="40.7109375" style="78" bestFit="1" customWidth="1"/>
    <col min="15872" max="15872" width="11.42578125" style="78" bestFit="1" customWidth="1"/>
    <col min="15873" max="15873" width="11.140625" style="78" bestFit="1" customWidth="1"/>
    <col min="15874" max="15875" width="13.140625" style="78" bestFit="1" customWidth="1"/>
    <col min="15876" max="15876" width="11.140625" style="78" bestFit="1" customWidth="1"/>
    <col min="15877" max="15877" width="14.140625" style="78" bestFit="1" customWidth="1"/>
    <col min="15878" max="16126" width="9.140625" style="78"/>
    <col min="16127" max="16127" width="40.7109375" style="78" bestFit="1" customWidth="1"/>
    <col min="16128" max="16128" width="11.42578125" style="78" bestFit="1" customWidth="1"/>
    <col min="16129" max="16129" width="11.140625" style="78" bestFit="1" customWidth="1"/>
    <col min="16130" max="16131" width="13.140625" style="78" bestFit="1" customWidth="1"/>
    <col min="16132" max="16132" width="11.140625" style="78" bestFit="1" customWidth="1"/>
    <col min="16133" max="16133" width="14.140625" style="78" bestFit="1" customWidth="1"/>
    <col min="16134" max="16384" width="9.140625" style="78"/>
  </cols>
  <sheetData>
    <row r="1" spans="1:5">
      <c r="A1" s="86" t="s">
        <v>266</v>
      </c>
      <c r="B1" s="82"/>
      <c r="C1" s="82"/>
      <c r="D1" s="82"/>
      <c r="E1" s="82"/>
    </row>
    <row r="2" spans="1:5">
      <c r="A2" s="86" t="s">
        <v>267</v>
      </c>
      <c r="B2" s="103"/>
      <c r="C2" s="103"/>
      <c r="D2" s="103"/>
      <c r="E2" s="82"/>
    </row>
    <row r="3" spans="1:5">
      <c r="A3" s="86" t="s">
        <v>268</v>
      </c>
      <c r="B3" s="80">
        <v>2013</v>
      </c>
      <c r="C3" s="82"/>
      <c r="D3" s="82"/>
    </row>
    <row r="4" spans="1:5">
      <c r="A4" s="86" t="s">
        <v>269</v>
      </c>
      <c r="B4" s="82"/>
      <c r="C4" s="102" t="s">
        <v>156</v>
      </c>
      <c r="D4" s="82"/>
      <c r="E4" s="82"/>
    </row>
    <row r="5" spans="1:5">
      <c r="A5" s="82"/>
      <c r="B5" s="82"/>
      <c r="C5" s="82"/>
      <c r="D5" s="82"/>
      <c r="E5" s="82"/>
    </row>
    <row r="6" spans="1:5">
      <c r="A6" s="82"/>
      <c r="B6" s="194"/>
      <c r="C6" s="194"/>
      <c r="D6" s="194"/>
      <c r="E6" s="195"/>
    </row>
    <row r="7" spans="1:5">
      <c r="A7" s="79" t="s">
        <v>270</v>
      </c>
      <c r="B7" s="84">
        <v>19.3</v>
      </c>
      <c r="C7" s="84">
        <v>19.399999999999999</v>
      </c>
      <c r="D7" s="84">
        <v>21.2</v>
      </c>
      <c r="E7" s="83" t="s">
        <v>271</v>
      </c>
    </row>
    <row r="8" spans="1:5">
      <c r="A8" s="82" t="s">
        <v>272</v>
      </c>
      <c r="B8" s="104">
        <v>0</v>
      </c>
      <c r="C8" s="104">
        <v>0</v>
      </c>
      <c r="D8" s="104">
        <v>0</v>
      </c>
      <c r="E8" s="105">
        <f>SUM(B8:D8)</f>
        <v>0</v>
      </c>
    </row>
    <row r="9" spans="1:5">
      <c r="A9" s="82"/>
      <c r="B9" s="106"/>
      <c r="C9" s="106"/>
      <c r="D9" s="106"/>
      <c r="E9" s="106"/>
    </row>
    <row r="10" spans="1:5">
      <c r="A10" s="79" t="s">
        <v>273</v>
      </c>
      <c r="B10" s="106"/>
      <c r="C10" s="106"/>
      <c r="D10" s="106"/>
      <c r="E10" s="106"/>
    </row>
    <row r="11" spans="1:5">
      <c r="A11" s="82" t="s">
        <v>274</v>
      </c>
      <c r="B11" s="104">
        <v>0</v>
      </c>
      <c r="C11" s="104">
        <v>0</v>
      </c>
      <c r="D11" s="104">
        <v>0</v>
      </c>
      <c r="E11" s="105">
        <f>SUM(B11:D11)</f>
        <v>0</v>
      </c>
    </row>
    <row r="12" spans="1:5">
      <c r="A12" s="82"/>
      <c r="B12" s="82"/>
      <c r="C12" s="82"/>
      <c r="D12" s="82"/>
      <c r="E12" s="82"/>
    </row>
    <row r="14" spans="1:5" hidden="1">
      <c r="A14" s="85" t="s">
        <v>275</v>
      </c>
      <c r="B14" s="194"/>
      <c r="C14" s="194"/>
      <c r="D14" s="194"/>
      <c r="E14" s="195"/>
    </row>
    <row r="15" spans="1:5" hidden="1">
      <c r="B15" s="84">
        <f t="shared" ref="B15:D15" si="0">B7</f>
        <v>19.3</v>
      </c>
      <c r="C15" s="84">
        <f t="shared" si="0"/>
        <v>19.399999999999999</v>
      </c>
      <c r="D15" s="84">
        <f t="shared" si="0"/>
        <v>21.2</v>
      </c>
      <c r="E15" s="83" t="s">
        <v>271</v>
      </c>
    </row>
    <row r="16" spans="1:5" hidden="1">
      <c r="A16" s="79" t="s">
        <v>270</v>
      </c>
      <c r="B16" s="104">
        <v>0</v>
      </c>
      <c r="C16" s="104">
        <v>0</v>
      </c>
      <c r="D16" s="104">
        <v>0</v>
      </c>
      <c r="E16" s="105">
        <f>SUM(B16:D16)</f>
        <v>0</v>
      </c>
    </row>
    <row r="17" spans="1:5" hidden="1">
      <c r="A17" s="82"/>
      <c r="B17" s="106"/>
      <c r="C17" s="106"/>
      <c r="D17" s="106"/>
      <c r="E17" s="106"/>
    </row>
    <row r="18" spans="1:5" hidden="1">
      <c r="A18" s="79" t="s">
        <v>273</v>
      </c>
      <c r="B18" s="104">
        <v>0</v>
      </c>
      <c r="C18" s="104">
        <v>0</v>
      </c>
      <c r="D18" s="104">
        <v>0</v>
      </c>
      <c r="E18" s="105">
        <f>SUM(B18:D18)</f>
        <v>0</v>
      </c>
    </row>
    <row r="19" spans="1:5" hidden="1"/>
    <row r="20" spans="1:5" hidden="1"/>
    <row r="21" spans="1:5" hidden="1">
      <c r="A21" s="107" t="s">
        <v>276</v>
      </c>
      <c r="B21" s="194"/>
      <c r="C21" s="194"/>
      <c r="D21" s="194"/>
      <c r="E21" s="195"/>
    </row>
    <row r="22" spans="1:5" hidden="1">
      <c r="B22" s="84">
        <f t="shared" ref="B22:D22" si="1">B7</f>
        <v>19.3</v>
      </c>
      <c r="C22" s="84">
        <f t="shared" si="1"/>
        <v>19.399999999999999</v>
      </c>
      <c r="D22" s="84">
        <f t="shared" si="1"/>
        <v>21.2</v>
      </c>
      <c r="E22" s="83" t="s">
        <v>271</v>
      </c>
    </row>
    <row r="23" spans="1:5" hidden="1">
      <c r="A23" s="79" t="s">
        <v>270</v>
      </c>
      <c r="B23" s="108">
        <f t="shared" ref="B23:D23" si="2">B16-B8</f>
        <v>0</v>
      </c>
      <c r="C23" s="108">
        <f t="shared" si="2"/>
        <v>0</v>
      </c>
      <c r="D23" s="108">
        <f t="shared" si="2"/>
        <v>0</v>
      </c>
      <c r="E23" s="105">
        <f>SUM(B23:D23)</f>
        <v>0</v>
      </c>
    </row>
    <row r="24" spans="1:5" hidden="1">
      <c r="A24" s="82"/>
      <c r="B24" s="106"/>
      <c r="C24" s="106"/>
      <c r="D24" s="106"/>
      <c r="E24" s="106"/>
    </row>
    <row r="25" spans="1:5" hidden="1">
      <c r="A25" s="79" t="s">
        <v>273</v>
      </c>
      <c r="B25" s="109">
        <f t="shared" ref="B25:D25" si="3">+B18-B11</f>
        <v>0</v>
      </c>
      <c r="C25" s="109">
        <f t="shared" si="3"/>
        <v>0</v>
      </c>
      <c r="D25" s="109">
        <f t="shared" si="3"/>
        <v>0</v>
      </c>
      <c r="E25" s="106">
        <f>SUM(B25:D25)</f>
        <v>0</v>
      </c>
    </row>
    <row r="26" spans="1:5" hidden="1">
      <c r="A26" s="81"/>
      <c r="B26" s="110"/>
      <c r="C26" s="110"/>
      <c r="D26" s="110"/>
      <c r="E26" s="110"/>
    </row>
    <row r="27" spans="1:5" hidden="1"/>
    <row r="28" spans="1:5" hidden="1">
      <c r="A28" s="111" t="s">
        <v>277</v>
      </c>
      <c r="B28" s="112"/>
      <c r="C28" s="112"/>
      <c r="D28" s="112"/>
      <c r="E28" s="112"/>
    </row>
    <row r="29" spans="1:5" hidden="1">
      <c r="A29" s="79" t="s">
        <v>270</v>
      </c>
    </row>
    <row r="30" spans="1:5" hidden="1">
      <c r="A30" s="78" t="s">
        <v>278</v>
      </c>
      <c r="B30" s="113">
        <v>0</v>
      </c>
      <c r="C30" s="113">
        <v>0</v>
      </c>
      <c r="D30" s="113">
        <v>0</v>
      </c>
      <c r="E30" s="106">
        <f>SUM(B30:D30)</f>
        <v>0</v>
      </c>
    </row>
    <row r="31" spans="1:5" hidden="1">
      <c r="A31" s="78" t="s">
        <v>279</v>
      </c>
      <c r="B31" s="113">
        <v>0</v>
      </c>
      <c r="C31" s="113">
        <v>0</v>
      </c>
      <c r="D31" s="113">
        <v>0</v>
      </c>
      <c r="E31" s="106">
        <f>SUM(B31:D31)</f>
        <v>0</v>
      </c>
    </row>
    <row r="32" spans="1:5" hidden="1">
      <c r="A32" s="78" t="s">
        <v>280</v>
      </c>
      <c r="B32" s="113">
        <v>0</v>
      </c>
      <c r="C32" s="113">
        <v>0</v>
      </c>
      <c r="D32" s="113">
        <v>0</v>
      </c>
      <c r="E32" s="106">
        <f>SUM(B32:D32)</f>
        <v>0</v>
      </c>
    </row>
    <row r="33" spans="1:5" hidden="1">
      <c r="A33" s="80"/>
      <c r="B33" s="114">
        <f t="shared" ref="B33:D33" si="4">SUM(B30:B32)</f>
        <v>0</v>
      </c>
      <c r="C33" s="114">
        <f t="shared" si="4"/>
        <v>0</v>
      </c>
      <c r="D33" s="114">
        <f t="shared" si="4"/>
        <v>0</v>
      </c>
      <c r="E33" s="106">
        <f>SUM(B33:D33)</f>
        <v>0</v>
      </c>
    </row>
    <row r="34" spans="1:5" hidden="1"/>
    <row r="35" spans="1:5" hidden="1">
      <c r="A35" s="79" t="s">
        <v>273</v>
      </c>
    </row>
    <row r="36" spans="1:5" hidden="1">
      <c r="A36" s="78" t="s">
        <v>279</v>
      </c>
      <c r="B36" s="113">
        <v>0</v>
      </c>
      <c r="C36" s="113">
        <v>0</v>
      </c>
      <c r="D36" s="113">
        <v>0</v>
      </c>
      <c r="E36" s="106">
        <f>SUM(B36:D36)</f>
        <v>0</v>
      </c>
    </row>
    <row r="37" spans="1:5" hidden="1"/>
    <row r="38" spans="1:5" hidden="1"/>
    <row r="39" spans="1:5" hidden="1"/>
  </sheetData>
  <mergeCells count="3">
    <mergeCell ref="B6:E6"/>
    <mergeCell ref="B14:E14"/>
    <mergeCell ref="B21:E21"/>
  </mergeCells>
  <pageMargins left="0.7" right="0.7" top="0.75" bottom="0.75" header="0.3" footer="0.3"/>
  <pageSetup scale="94" orientation="portrait" horizontalDpi="1200" verticalDpi="12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F157"/>
  <sheetViews>
    <sheetView zoomScale="75" zoomScaleNormal="75" workbookViewId="0">
      <selection activeCell="A5" sqref="A5"/>
    </sheetView>
  </sheetViews>
  <sheetFormatPr defaultRowHeight="12.75"/>
  <cols>
    <col min="1" max="1" width="17.28515625" style="78" customWidth="1"/>
    <col min="2" max="2" width="29.85546875" style="78" customWidth="1"/>
    <col min="3" max="3" width="14.5703125" style="78" customWidth="1"/>
    <col min="4" max="4" width="19.42578125" style="78" customWidth="1"/>
    <col min="5" max="6" width="20" style="78" customWidth="1"/>
    <col min="7" max="256" width="9.140625" style="78"/>
    <col min="257" max="257" width="17.28515625" style="78" customWidth="1"/>
    <col min="258" max="258" width="29.85546875" style="78" customWidth="1"/>
    <col min="259" max="259" width="14.5703125" style="78" customWidth="1"/>
    <col min="260" max="260" width="19.42578125" style="78" customWidth="1"/>
    <col min="261" max="262" width="20" style="78" customWidth="1"/>
    <col min="263" max="512" width="9.140625" style="78"/>
    <col min="513" max="513" width="17.28515625" style="78" customWidth="1"/>
    <col min="514" max="514" width="29.85546875" style="78" customWidth="1"/>
    <col min="515" max="515" width="14.5703125" style="78" customWidth="1"/>
    <col min="516" max="516" width="19.42578125" style="78" customWidth="1"/>
    <col min="517" max="518" width="20" style="78" customWidth="1"/>
    <col min="519" max="768" width="9.140625" style="78"/>
    <col min="769" max="769" width="17.28515625" style="78" customWidth="1"/>
    <col min="770" max="770" width="29.85546875" style="78" customWidth="1"/>
    <col min="771" max="771" width="14.5703125" style="78" customWidth="1"/>
    <col min="772" max="772" width="19.42578125" style="78" customWidth="1"/>
    <col min="773" max="774" width="20" style="78" customWidth="1"/>
    <col min="775" max="1024" width="9.140625" style="78"/>
    <col min="1025" max="1025" width="17.28515625" style="78" customWidth="1"/>
    <col min="1026" max="1026" width="29.85546875" style="78" customWidth="1"/>
    <col min="1027" max="1027" width="14.5703125" style="78" customWidth="1"/>
    <col min="1028" max="1028" width="19.42578125" style="78" customWidth="1"/>
    <col min="1029" max="1030" width="20" style="78" customWidth="1"/>
    <col min="1031" max="1280" width="9.140625" style="78"/>
    <col min="1281" max="1281" width="17.28515625" style="78" customWidth="1"/>
    <col min="1282" max="1282" width="29.85546875" style="78" customWidth="1"/>
    <col min="1283" max="1283" width="14.5703125" style="78" customWidth="1"/>
    <col min="1284" max="1284" width="19.42578125" style="78" customWidth="1"/>
    <col min="1285" max="1286" width="20" style="78" customWidth="1"/>
    <col min="1287" max="1536" width="9.140625" style="78"/>
    <col min="1537" max="1537" width="17.28515625" style="78" customWidth="1"/>
    <col min="1538" max="1538" width="29.85546875" style="78" customWidth="1"/>
    <col min="1539" max="1539" width="14.5703125" style="78" customWidth="1"/>
    <col min="1540" max="1540" width="19.42578125" style="78" customWidth="1"/>
    <col min="1541" max="1542" width="20" style="78" customWidth="1"/>
    <col min="1543" max="1792" width="9.140625" style="78"/>
    <col min="1793" max="1793" width="17.28515625" style="78" customWidth="1"/>
    <col min="1794" max="1794" width="29.85546875" style="78" customWidth="1"/>
    <col min="1795" max="1795" width="14.5703125" style="78" customWidth="1"/>
    <col min="1796" max="1796" width="19.42578125" style="78" customWidth="1"/>
    <col min="1797" max="1798" width="20" style="78" customWidth="1"/>
    <col min="1799" max="2048" width="9.140625" style="78"/>
    <col min="2049" max="2049" width="17.28515625" style="78" customWidth="1"/>
    <col min="2050" max="2050" width="29.85546875" style="78" customWidth="1"/>
    <col min="2051" max="2051" width="14.5703125" style="78" customWidth="1"/>
    <col min="2052" max="2052" width="19.42578125" style="78" customWidth="1"/>
    <col min="2053" max="2054" width="20" style="78" customWidth="1"/>
    <col min="2055" max="2304" width="9.140625" style="78"/>
    <col min="2305" max="2305" width="17.28515625" style="78" customWidth="1"/>
    <col min="2306" max="2306" width="29.85546875" style="78" customWidth="1"/>
    <col min="2307" max="2307" width="14.5703125" style="78" customWidth="1"/>
    <col min="2308" max="2308" width="19.42578125" style="78" customWidth="1"/>
    <col min="2309" max="2310" width="20" style="78" customWidth="1"/>
    <col min="2311" max="2560" width="9.140625" style="78"/>
    <col min="2561" max="2561" width="17.28515625" style="78" customWidth="1"/>
    <col min="2562" max="2562" width="29.85546875" style="78" customWidth="1"/>
    <col min="2563" max="2563" width="14.5703125" style="78" customWidth="1"/>
    <col min="2564" max="2564" width="19.42578125" style="78" customWidth="1"/>
    <col min="2565" max="2566" width="20" style="78" customWidth="1"/>
    <col min="2567" max="2816" width="9.140625" style="78"/>
    <col min="2817" max="2817" width="17.28515625" style="78" customWidth="1"/>
    <col min="2818" max="2818" width="29.85546875" style="78" customWidth="1"/>
    <col min="2819" max="2819" width="14.5703125" style="78" customWidth="1"/>
    <col min="2820" max="2820" width="19.42578125" style="78" customWidth="1"/>
    <col min="2821" max="2822" width="20" style="78" customWidth="1"/>
    <col min="2823" max="3072" width="9.140625" style="78"/>
    <col min="3073" max="3073" width="17.28515625" style="78" customWidth="1"/>
    <col min="3074" max="3074" width="29.85546875" style="78" customWidth="1"/>
    <col min="3075" max="3075" width="14.5703125" style="78" customWidth="1"/>
    <col min="3076" max="3076" width="19.42578125" style="78" customWidth="1"/>
    <col min="3077" max="3078" width="20" style="78" customWidth="1"/>
    <col min="3079" max="3328" width="9.140625" style="78"/>
    <col min="3329" max="3329" width="17.28515625" style="78" customWidth="1"/>
    <col min="3330" max="3330" width="29.85546875" style="78" customWidth="1"/>
    <col min="3331" max="3331" width="14.5703125" style="78" customWidth="1"/>
    <col min="3332" max="3332" width="19.42578125" style="78" customWidth="1"/>
    <col min="3333" max="3334" width="20" style="78" customWidth="1"/>
    <col min="3335" max="3584" width="9.140625" style="78"/>
    <col min="3585" max="3585" width="17.28515625" style="78" customWidth="1"/>
    <col min="3586" max="3586" width="29.85546875" style="78" customWidth="1"/>
    <col min="3587" max="3587" width="14.5703125" style="78" customWidth="1"/>
    <col min="3588" max="3588" width="19.42578125" style="78" customWidth="1"/>
    <col min="3589" max="3590" width="20" style="78" customWidth="1"/>
    <col min="3591" max="3840" width="9.140625" style="78"/>
    <col min="3841" max="3841" width="17.28515625" style="78" customWidth="1"/>
    <col min="3842" max="3842" width="29.85546875" style="78" customWidth="1"/>
    <col min="3843" max="3843" width="14.5703125" style="78" customWidth="1"/>
    <col min="3844" max="3844" width="19.42578125" style="78" customWidth="1"/>
    <col min="3845" max="3846" width="20" style="78" customWidth="1"/>
    <col min="3847" max="4096" width="9.140625" style="78"/>
    <col min="4097" max="4097" width="17.28515625" style="78" customWidth="1"/>
    <col min="4098" max="4098" width="29.85546875" style="78" customWidth="1"/>
    <col min="4099" max="4099" width="14.5703125" style="78" customWidth="1"/>
    <col min="4100" max="4100" width="19.42578125" style="78" customWidth="1"/>
    <col min="4101" max="4102" width="20" style="78" customWidth="1"/>
    <col min="4103" max="4352" width="9.140625" style="78"/>
    <col min="4353" max="4353" width="17.28515625" style="78" customWidth="1"/>
    <col min="4354" max="4354" width="29.85546875" style="78" customWidth="1"/>
    <col min="4355" max="4355" width="14.5703125" style="78" customWidth="1"/>
    <col min="4356" max="4356" width="19.42578125" style="78" customWidth="1"/>
    <col min="4357" max="4358" width="20" style="78" customWidth="1"/>
    <col min="4359" max="4608" width="9.140625" style="78"/>
    <col min="4609" max="4609" width="17.28515625" style="78" customWidth="1"/>
    <col min="4610" max="4610" width="29.85546875" style="78" customWidth="1"/>
    <col min="4611" max="4611" width="14.5703125" style="78" customWidth="1"/>
    <col min="4612" max="4612" width="19.42578125" style="78" customWidth="1"/>
    <col min="4613" max="4614" width="20" style="78" customWidth="1"/>
    <col min="4615" max="4864" width="9.140625" style="78"/>
    <col min="4865" max="4865" width="17.28515625" style="78" customWidth="1"/>
    <col min="4866" max="4866" width="29.85546875" style="78" customWidth="1"/>
    <col min="4867" max="4867" width="14.5703125" style="78" customWidth="1"/>
    <col min="4868" max="4868" width="19.42578125" style="78" customWidth="1"/>
    <col min="4869" max="4870" width="20" style="78" customWidth="1"/>
    <col min="4871" max="5120" width="9.140625" style="78"/>
    <col min="5121" max="5121" width="17.28515625" style="78" customWidth="1"/>
    <col min="5122" max="5122" width="29.85546875" style="78" customWidth="1"/>
    <col min="5123" max="5123" width="14.5703125" style="78" customWidth="1"/>
    <col min="5124" max="5124" width="19.42578125" style="78" customWidth="1"/>
    <col min="5125" max="5126" width="20" style="78" customWidth="1"/>
    <col min="5127" max="5376" width="9.140625" style="78"/>
    <col min="5377" max="5377" width="17.28515625" style="78" customWidth="1"/>
    <col min="5378" max="5378" width="29.85546875" style="78" customWidth="1"/>
    <col min="5379" max="5379" width="14.5703125" style="78" customWidth="1"/>
    <col min="5380" max="5380" width="19.42578125" style="78" customWidth="1"/>
    <col min="5381" max="5382" width="20" style="78" customWidth="1"/>
    <col min="5383" max="5632" width="9.140625" style="78"/>
    <col min="5633" max="5633" width="17.28515625" style="78" customWidth="1"/>
    <col min="5634" max="5634" width="29.85546875" style="78" customWidth="1"/>
    <col min="5635" max="5635" width="14.5703125" style="78" customWidth="1"/>
    <col min="5636" max="5636" width="19.42578125" style="78" customWidth="1"/>
    <col min="5637" max="5638" width="20" style="78" customWidth="1"/>
    <col min="5639" max="5888" width="9.140625" style="78"/>
    <col min="5889" max="5889" width="17.28515625" style="78" customWidth="1"/>
    <col min="5890" max="5890" width="29.85546875" style="78" customWidth="1"/>
    <col min="5891" max="5891" width="14.5703125" style="78" customWidth="1"/>
    <col min="5892" max="5892" width="19.42578125" style="78" customWidth="1"/>
    <col min="5893" max="5894" width="20" style="78" customWidth="1"/>
    <col min="5895" max="6144" width="9.140625" style="78"/>
    <col min="6145" max="6145" width="17.28515625" style="78" customWidth="1"/>
    <col min="6146" max="6146" width="29.85546875" style="78" customWidth="1"/>
    <col min="6147" max="6147" width="14.5703125" style="78" customWidth="1"/>
    <col min="6148" max="6148" width="19.42578125" style="78" customWidth="1"/>
    <col min="6149" max="6150" width="20" style="78" customWidth="1"/>
    <col min="6151" max="6400" width="9.140625" style="78"/>
    <col min="6401" max="6401" width="17.28515625" style="78" customWidth="1"/>
    <col min="6402" max="6402" width="29.85546875" style="78" customWidth="1"/>
    <col min="6403" max="6403" width="14.5703125" style="78" customWidth="1"/>
    <col min="6404" max="6404" width="19.42578125" style="78" customWidth="1"/>
    <col min="6405" max="6406" width="20" style="78" customWidth="1"/>
    <col min="6407" max="6656" width="9.140625" style="78"/>
    <col min="6657" max="6657" width="17.28515625" style="78" customWidth="1"/>
    <col min="6658" max="6658" width="29.85546875" style="78" customWidth="1"/>
    <col min="6659" max="6659" width="14.5703125" style="78" customWidth="1"/>
    <col min="6660" max="6660" width="19.42578125" style="78" customWidth="1"/>
    <col min="6661" max="6662" width="20" style="78" customWidth="1"/>
    <col min="6663" max="6912" width="9.140625" style="78"/>
    <col min="6913" max="6913" width="17.28515625" style="78" customWidth="1"/>
    <col min="6914" max="6914" width="29.85546875" style="78" customWidth="1"/>
    <col min="6915" max="6915" width="14.5703125" style="78" customWidth="1"/>
    <col min="6916" max="6916" width="19.42578125" style="78" customWidth="1"/>
    <col min="6917" max="6918" width="20" style="78" customWidth="1"/>
    <col min="6919" max="7168" width="9.140625" style="78"/>
    <col min="7169" max="7169" width="17.28515625" style="78" customWidth="1"/>
    <col min="7170" max="7170" width="29.85546875" style="78" customWidth="1"/>
    <col min="7171" max="7171" width="14.5703125" style="78" customWidth="1"/>
    <col min="7172" max="7172" width="19.42578125" style="78" customWidth="1"/>
    <col min="7173" max="7174" width="20" style="78" customWidth="1"/>
    <col min="7175" max="7424" width="9.140625" style="78"/>
    <col min="7425" max="7425" width="17.28515625" style="78" customWidth="1"/>
    <col min="7426" max="7426" width="29.85546875" style="78" customWidth="1"/>
    <col min="7427" max="7427" width="14.5703125" style="78" customWidth="1"/>
    <col min="7428" max="7428" width="19.42578125" style="78" customWidth="1"/>
    <col min="7429" max="7430" width="20" style="78" customWidth="1"/>
    <col min="7431" max="7680" width="9.140625" style="78"/>
    <col min="7681" max="7681" width="17.28515625" style="78" customWidth="1"/>
    <col min="7682" max="7682" width="29.85546875" style="78" customWidth="1"/>
    <col min="7683" max="7683" width="14.5703125" style="78" customWidth="1"/>
    <col min="7684" max="7684" width="19.42578125" style="78" customWidth="1"/>
    <col min="7685" max="7686" width="20" style="78" customWidth="1"/>
    <col min="7687" max="7936" width="9.140625" style="78"/>
    <col min="7937" max="7937" width="17.28515625" style="78" customWidth="1"/>
    <col min="7938" max="7938" width="29.85546875" style="78" customWidth="1"/>
    <col min="7939" max="7939" width="14.5703125" style="78" customWidth="1"/>
    <col min="7940" max="7940" width="19.42578125" style="78" customWidth="1"/>
    <col min="7941" max="7942" width="20" style="78" customWidth="1"/>
    <col min="7943" max="8192" width="9.140625" style="78"/>
    <col min="8193" max="8193" width="17.28515625" style="78" customWidth="1"/>
    <col min="8194" max="8194" width="29.85546875" style="78" customWidth="1"/>
    <col min="8195" max="8195" width="14.5703125" style="78" customWidth="1"/>
    <col min="8196" max="8196" width="19.42578125" style="78" customWidth="1"/>
    <col min="8197" max="8198" width="20" style="78" customWidth="1"/>
    <col min="8199" max="8448" width="9.140625" style="78"/>
    <col min="8449" max="8449" width="17.28515625" style="78" customWidth="1"/>
    <col min="8450" max="8450" width="29.85546875" style="78" customWidth="1"/>
    <col min="8451" max="8451" width="14.5703125" style="78" customWidth="1"/>
    <col min="8452" max="8452" width="19.42578125" style="78" customWidth="1"/>
    <col min="8453" max="8454" width="20" style="78" customWidth="1"/>
    <col min="8455" max="8704" width="9.140625" style="78"/>
    <col min="8705" max="8705" width="17.28515625" style="78" customWidth="1"/>
    <col min="8706" max="8706" width="29.85546875" style="78" customWidth="1"/>
    <col min="8707" max="8707" width="14.5703125" style="78" customWidth="1"/>
    <col min="8708" max="8708" width="19.42578125" style="78" customWidth="1"/>
    <col min="8709" max="8710" width="20" style="78" customWidth="1"/>
    <col min="8711" max="8960" width="9.140625" style="78"/>
    <col min="8961" max="8961" width="17.28515625" style="78" customWidth="1"/>
    <col min="8962" max="8962" width="29.85546875" style="78" customWidth="1"/>
    <col min="8963" max="8963" width="14.5703125" style="78" customWidth="1"/>
    <col min="8964" max="8964" width="19.42578125" style="78" customWidth="1"/>
    <col min="8965" max="8966" width="20" style="78" customWidth="1"/>
    <col min="8967" max="9216" width="9.140625" style="78"/>
    <col min="9217" max="9217" width="17.28515625" style="78" customWidth="1"/>
    <col min="9218" max="9218" width="29.85546875" style="78" customWidth="1"/>
    <col min="9219" max="9219" width="14.5703125" style="78" customWidth="1"/>
    <col min="9220" max="9220" width="19.42578125" style="78" customWidth="1"/>
    <col min="9221" max="9222" width="20" style="78" customWidth="1"/>
    <col min="9223" max="9472" width="9.140625" style="78"/>
    <col min="9473" max="9473" width="17.28515625" style="78" customWidth="1"/>
    <col min="9474" max="9474" width="29.85546875" style="78" customWidth="1"/>
    <col min="9475" max="9475" width="14.5703125" style="78" customWidth="1"/>
    <col min="9476" max="9476" width="19.42578125" style="78" customWidth="1"/>
    <col min="9477" max="9478" width="20" style="78" customWidth="1"/>
    <col min="9479" max="9728" width="9.140625" style="78"/>
    <col min="9729" max="9729" width="17.28515625" style="78" customWidth="1"/>
    <col min="9730" max="9730" width="29.85546875" style="78" customWidth="1"/>
    <col min="9731" max="9731" width="14.5703125" style="78" customWidth="1"/>
    <col min="9732" max="9732" width="19.42578125" style="78" customWidth="1"/>
    <col min="9733" max="9734" width="20" style="78" customWidth="1"/>
    <col min="9735" max="9984" width="9.140625" style="78"/>
    <col min="9985" max="9985" width="17.28515625" style="78" customWidth="1"/>
    <col min="9986" max="9986" width="29.85546875" style="78" customWidth="1"/>
    <col min="9987" max="9987" width="14.5703125" style="78" customWidth="1"/>
    <col min="9988" max="9988" width="19.42578125" style="78" customWidth="1"/>
    <col min="9989" max="9990" width="20" style="78" customWidth="1"/>
    <col min="9991" max="10240" width="9.140625" style="78"/>
    <col min="10241" max="10241" width="17.28515625" style="78" customWidth="1"/>
    <col min="10242" max="10242" width="29.85546875" style="78" customWidth="1"/>
    <col min="10243" max="10243" width="14.5703125" style="78" customWidth="1"/>
    <col min="10244" max="10244" width="19.42578125" style="78" customWidth="1"/>
    <col min="10245" max="10246" width="20" style="78" customWidth="1"/>
    <col min="10247" max="10496" width="9.140625" style="78"/>
    <col min="10497" max="10497" width="17.28515625" style="78" customWidth="1"/>
    <col min="10498" max="10498" width="29.85546875" style="78" customWidth="1"/>
    <col min="10499" max="10499" width="14.5703125" style="78" customWidth="1"/>
    <col min="10500" max="10500" width="19.42578125" style="78" customWidth="1"/>
    <col min="10501" max="10502" width="20" style="78" customWidth="1"/>
    <col min="10503" max="10752" width="9.140625" style="78"/>
    <col min="10753" max="10753" width="17.28515625" style="78" customWidth="1"/>
    <col min="10754" max="10754" width="29.85546875" style="78" customWidth="1"/>
    <col min="10755" max="10755" width="14.5703125" style="78" customWidth="1"/>
    <col min="10756" max="10756" width="19.42578125" style="78" customWidth="1"/>
    <col min="10757" max="10758" width="20" style="78" customWidth="1"/>
    <col min="10759" max="11008" width="9.140625" style="78"/>
    <col min="11009" max="11009" width="17.28515625" style="78" customWidth="1"/>
    <col min="11010" max="11010" width="29.85546875" style="78" customWidth="1"/>
    <col min="11011" max="11011" width="14.5703125" style="78" customWidth="1"/>
    <col min="11012" max="11012" width="19.42578125" style="78" customWidth="1"/>
    <col min="11013" max="11014" width="20" style="78" customWidth="1"/>
    <col min="11015" max="11264" width="9.140625" style="78"/>
    <col min="11265" max="11265" width="17.28515625" style="78" customWidth="1"/>
    <col min="11266" max="11266" width="29.85546875" style="78" customWidth="1"/>
    <col min="11267" max="11267" width="14.5703125" style="78" customWidth="1"/>
    <col min="11268" max="11268" width="19.42578125" style="78" customWidth="1"/>
    <col min="11269" max="11270" width="20" style="78" customWidth="1"/>
    <col min="11271" max="11520" width="9.140625" style="78"/>
    <col min="11521" max="11521" width="17.28515625" style="78" customWidth="1"/>
    <col min="11522" max="11522" width="29.85546875" style="78" customWidth="1"/>
    <col min="11523" max="11523" width="14.5703125" style="78" customWidth="1"/>
    <col min="11524" max="11524" width="19.42578125" style="78" customWidth="1"/>
    <col min="11525" max="11526" width="20" style="78" customWidth="1"/>
    <col min="11527" max="11776" width="9.140625" style="78"/>
    <col min="11777" max="11777" width="17.28515625" style="78" customWidth="1"/>
    <col min="11778" max="11778" width="29.85546875" style="78" customWidth="1"/>
    <col min="11779" max="11779" width="14.5703125" style="78" customWidth="1"/>
    <col min="11780" max="11780" width="19.42578125" style="78" customWidth="1"/>
    <col min="11781" max="11782" width="20" style="78" customWidth="1"/>
    <col min="11783" max="12032" width="9.140625" style="78"/>
    <col min="12033" max="12033" width="17.28515625" style="78" customWidth="1"/>
    <col min="12034" max="12034" width="29.85546875" style="78" customWidth="1"/>
    <col min="12035" max="12035" width="14.5703125" style="78" customWidth="1"/>
    <col min="12036" max="12036" width="19.42578125" style="78" customWidth="1"/>
    <col min="12037" max="12038" width="20" style="78" customWidth="1"/>
    <col min="12039" max="12288" width="9.140625" style="78"/>
    <col min="12289" max="12289" width="17.28515625" style="78" customWidth="1"/>
    <col min="12290" max="12290" width="29.85546875" style="78" customWidth="1"/>
    <col min="12291" max="12291" width="14.5703125" style="78" customWidth="1"/>
    <col min="12292" max="12292" width="19.42578125" style="78" customWidth="1"/>
    <col min="12293" max="12294" width="20" style="78" customWidth="1"/>
    <col min="12295" max="12544" width="9.140625" style="78"/>
    <col min="12545" max="12545" width="17.28515625" style="78" customWidth="1"/>
    <col min="12546" max="12546" width="29.85546875" style="78" customWidth="1"/>
    <col min="12547" max="12547" width="14.5703125" style="78" customWidth="1"/>
    <col min="12548" max="12548" width="19.42578125" style="78" customWidth="1"/>
    <col min="12549" max="12550" width="20" style="78" customWidth="1"/>
    <col min="12551" max="12800" width="9.140625" style="78"/>
    <col min="12801" max="12801" width="17.28515625" style="78" customWidth="1"/>
    <col min="12802" max="12802" width="29.85546875" style="78" customWidth="1"/>
    <col min="12803" max="12803" width="14.5703125" style="78" customWidth="1"/>
    <col min="12804" max="12804" width="19.42578125" style="78" customWidth="1"/>
    <col min="12805" max="12806" width="20" style="78" customWidth="1"/>
    <col min="12807" max="13056" width="9.140625" style="78"/>
    <col min="13057" max="13057" width="17.28515625" style="78" customWidth="1"/>
    <col min="13058" max="13058" width="29.85546875" style="78" customWidth="1"/>
    <col min="13059" max="13059" width="14.5703125" style="78" customWidth="1"/>
    <col min="13060" max="13060" width="19.42578125" style="78" customWidth="1"/>
    <col min="13061" max="13062" width="20" style="78" customWidth="1"/>
    <col min="13063" max="13312" width="9.140625" style="78"/>
    <col min="13313" max="13313" width="17.28515625" style="78" customWidth="1"/>
    <col min="13314" max="13314" width="29.85546875" style="78" customWidth="1"/>
    <col min="13315" max="13315" width="14.5703125" style="78" customWidth="1"/>
    <col min="13316" max="13316" width="19.42578125" style="78" customWidth="1"/>
    <col min="13317" max="13318" width="20" style="78" customWidth="1"/>
    <col min="13319" max="13568" width="9.140625" style="78"/>
    <col min="13569" max="13569" width="17.28515625" style="78" customWidth="1"/>
    <col min="13570" max="13570" width="29.85546875" style="78" customWidth="1"/>
    <col min="13571" max="13571" width="14.5703125" style="78" customWidth="1"/>
    <col min="13572" max="13572" width="19.42578125" style="78" customWidth="1"/>
    <col min="13573" max="13574" width="20" style="78" customWidth="1"/>
    <col min="13575" max="13824" width="9.140625" style="78"/>
    <col min="13825" max="13825" width="17.28515625" style="78" customWidth="1"/>
    <col min="13826" max="13826" width="29.85546875" style="78" customWidth="1"/>
    <col min="13827" max="13827" width="14.5703125" style="78" customWidth="1"/>
    <col min="13828" max="13828" width="19.42578125" style="78" customWidth="1"/>
    <col min="13829" max="13830" width="20" style="78" customWidth="1"/>
    <col min="13831" max="14080" width="9.140625" style="78"/>
    <col min="14081" max="14081" width="17.28515625" style="78" customWidth="1"/>
    <col min="14082" max="14082" width="29.85546875" style="78" customWidth="1"/>
    <col min="14083" max="14083" width="14.5703125" style="78" customWidth="1"/>
    <col min="14084" max="14084" width="19.42578125" style="78" customWidth="1"/>
    <col min="14085" max="14086" width="20" style="78" customWidth="1"/>
    <col min="14087" max="14336" width="9.140625" style="78"/>
    <col min="14337" max="14337" width="17.28515625" style="78" customWidth="1"/>
    <col min="14338" max="14338" width="29.85546875" style="78" customWidth="1"/>
    <col min="14339" max="14339" width="14.5703125" style="78" customWidth="1"/>
    <col min="14340" max="14340" width="19.42578125" style="78" customWidth="1"/>
    <col min="14341" max="14342" width="20" style="78" customWidth="1"/>
    <col min="14343" max="14592" width="9.140625" style="78"/>
    <col min="14593" max="14593" width="17.28515625" style="78" customWidth="1"/>
    <col min="14594" max="14594" width="29.85546875" style="78" customWidth="1"/>
    <col min="14595" max="14595" width="14.5703125" style="78" customWidth="1"/>
    <col min="14596" max="14596" width="19.42578125" style="78" customWidth="1"/>
    <col min="14597" max="14598" width="20" style="78" customWidth="1"/>
    <col min="14599" max="14848" width="9.140625" style="78"/>
    <col min="14849" max="14849" width="17.28515625" style="78" customWidth="1"/>
    <col min="14850" max="14850" width="29.85546875" style="78" customWidth="1"/>
    <col min="14851" max="14851" width="14.5703125" style="78" customWidth="1"/>
    <col min="14852" max="14852" width="19.42578125" style="78" customWidth="1"/>
    <col min="14853" max="14854" width="20" style="78" customWidth="1"/>
    <col min="14855" max="15104" width="9.140625" style="78"/>
    <col min="15105" max="15105" width="17.28515625" style="78" customWidth="1"/>
    <col min="15106" max="15106" width="29.85546875" style="78" customWidth="1"/>
    <col min="15107" max="15107" width="14.5703125" style="78" customWidth="1"/>
    <col min="15108" max="15108" width="19.42578125" style="78" customWidth="1"/>
    <col min="15109" max="15110" width="20" style="78" customWidth="1"/>
    <col min="15111" max="15360" width="9.140625" style="78"/>
    <col min="15361" max="15361" width="17.28515625" style="78" customWidth="1"/>
    <col min="15362" max="15362" width="29.85546875" style="78" customWidth="1"/>
    <col min="15363" max="15363" width="14.5703125" style="78" customWidth="1"/>
    <col min="15364" max="15364" width="19.42578125" style="78" customWidth="1"/>
    <col min="15365" max="15366" width="20" style="78" customWidth="1"/>
    <col min="15367" max="15616" width="9.140625" style="78"/>
    <col min="15617" max="15617" width="17.28515625" style="78" customWidth="1"/>
    <col min="15618" max="15618" width="29.85546875" style="78" customWidth="1"/>
    <col min="15619" max="15619" width="14.5703125" style="78" customWidth="1"/>
    <col min="15620" max="15620" width="19.42578125" style="78" customWidth="1"/>
    <col min="15621" max="15622" width="20" style="78" customWidth="1"/>
    <col min="15623" max="15872" width="9.140625" style="78"/>
    <col min="15873" max="15873" width="17.28515625" style="78" customWidth="1"/>
    <col min="15874" max="15874" width="29.85546875" style="78" customWidth="1"/>
    <col min="15875" max="15875" width="14.5703125" style="78" customWidth="1"/>
    <col min="15876" max="15876" width="19.42578125" style="78" customWidth="1"/>
    <col min="15877" max="15878" width="20" style="78" customWidth="1"/>
    <col min="15879" max="16128" width="9.140625" style="78"/>
    <col min="16129" max="16129" width="17.28515625" style="78" customWidth="1"/>
    <col min="16130" max="16130" width="29.85546875" style="78" customWidth="1"/>
    <col min="16131" max="16131" width="14.5703125" style="78" customWidth="1"/>
    <col min="16132" max="16132" width="19.42578125" style="78" customWidth="1"/>
    <col min="16133" max="16134" width="20" style="78" customWidth="1"/>
    <col min="16135" max="16384" width="9.140625" style="78"/>
  </cols>
  <sheetData>
    <row r="1" spans="1:6">
      <c r="A1" s="86" t="str">
        <f>+Premiums!A1</f>
        <v>NTA - 1/1/2013</v>
      </c>
    </row>
    <row r="2" spans="1:6">
      <c r="A2" s="86" t="s">
        <v>281</v>
      </c>
      <c r="C2" s="80">
        <f>Premiums!B3</f>
        <v>2013</v>
      </c>
      <c r="E2" s="115" t="s">
        <v>156</v>
      </c>
    </row>
    <row r="3" spans="1:6">
      <c r="A3" s="86" t="s">
        <v>268</v>
      </c>
    </row>
    <row r="4" spans="1:6">
      <c r="A4" s="86" t="str">
        <f>Premiums!A4</f>
        <v>STATE NATIONAL INSURANCE COMPANY</v>
      </c>
    </row>
    <row r="6" spans="1:6">
      <c r="A6" s="86" t="s">
        <v>282</v>
      </c>
      <c r="B6" s="86"/>
    </row>
    <row r="7" spans="1:6">
      <c r="A7" s="86"/>
      <c r="B7" s="86"/>
    </row>
    <row r="8" spans="1:6" hidden="1">
      <c r="A8" s="86">
        <v>2018</v>
      </c>
      <c r="B8" s="80" t="s">
        <v>283</v>
      </c>
      <c r="C8" s="80" t="s">
        <v>284</v>
      </c>
      <c r="D8" s="80" t="s">
        <v>285</v>
      </c>
      <c r="E8" s="80" t="s">
        <v>51</v>
      </c>
      <c r="F8" s="80" t="s">
        <v>286</v>
      </c>
    </row>
    <row r="9" spans="1:6" hidden="1">
      <c r="B9" s="80" t="s">
        <v>287</v>
      </c>
      <c r="C9" s="80" t="s">
        <v>288</v>
      </c>
      <c r="D9" s="80" t="s">
        <v>288</v>
      </c>
      <c r="E9" s="80" t="s">
        <v>288</v>
      </c>
      <c r="F9" s="80" t="s">
        <v>289</v>
      </c>
    </row>
    <row r="10" spans="1:6" hidden="1">
      <c r="B10" s="80"/>
      <c r="C10" s="80"/>
      <c r="D10" s="80"/>
      <c r="E10" s="80"/>
      <c r="F10" s="80"/>
    </row>
    <row r="11" spans="1:6" hidden="1">
      <c r="A11" s="80">
        <f>Premiums!$B$7</f>
        <v>19.3</v>
      </c>
      <c r="B11" s="116">
        <f>A8</f>
        <v>2018</v>
      </c>
      <c r="C11" s="117">
        <v>0</v>
      </c>
      <c r="D11" s="117">
        <v>0</v>
      </c>
      <c r="E11" s="117">
        <v>0</v>
      </c>
      <c r="F11" s="117">
        <v>0</v>
      </c>
    </row>
    <row r="12" spans="1:6" hidden="1">
      <c r="A12" s="80">
        <f>Premiums!$C$7</f>
        <v>19.399999999999999</v>
      </c>
      <c r="B12" s="116">
        <f t="shared" ref="B12:B13" si="0">B11</f>
        <v>2018</v>
      </c>
      <c r="C12" s="117">
        <v>0</v>
      </c>
      <c r="D12" s="117">
        <v>0</v>
      </c>
      <c r="E12" s="117">
        <v>0</v>
      </c>
      <c r="F12" s="117">
        <v>0</v>
      </c>
    </row>
    <row r="13" spans="1:6" hidden="1">
      <c r="A13" s="80">
        <f>Premiums!$D$7</f>
        <v>21.2</v>
      </c>
      <c r="B13" s="116">
        <f t="shared" si="0"/>
        <v>2018</v>
      </c>
      <c r="C13" s="117">
        <v>0</v>
      </c>
      <c r="D13" s="117">
        <v>0</v>
      </c>
      <c r="E13" s="117">
        <v>0</v>
      </c>
      <c r="F13" s="117">
        <v>0</v>
      </c>
    </row>
    <row r="14" spans="1:6" hidden="1">
      <c r="A14" s="80"/>
      <c r="B14" s="80"/>
      <c r="C14" s="87"/>
      <c r="D14" s="87"/>
      <c r="E14" s="87"/>
      <c r="F14" s="87"/>
    </row>
    <row r="15" spans="1:6" hidden="1">
      <c r="A15" s="80"/>
      <c r="B15" s="80" t="s">
        <v>271</v>
      </c>
      <c r="C15" s="118">
        <f>SUM(C11:C13)</f>
        <v>0</v>
      </c>
      <c r="D15" s="118">
        <f>SUM(D11:D13)</f>
        <v>0</v>
      </c>
      <c r="E15" s="118">
        <f>SUM(E11:E13)</f>
        <v>0</v>
      </c>
      <c r="F15" s="118">
        <f>SUM(F11:F13)</f>
        <v>0</v>
      </c>
    </row>
    <row r="16" spans="1:6" hidden="1">
      <c r="A16" s="80"/>
      <c r="B16" s="80"/>
      <c r="C16" s="80"/>
      <c r="D16" s="80"/>
      <c r="E16" s="80"/>
      <c r="F16" s="80"/>
    </row>
    <row r="17" spans="1:6" hidden="1">
      <c r="A17" s="86">
        <v>2017</v>
      </c>
      <c r="B17" s="80" t="s">
        <v>283</v>
      </c>
      <c r="C17" s="80" t="s">
        <v>284</v>
      </c>
      <c r="D17" s="80" t="s">
        <v>285</v>
      </c>
      <c r="E17" s="80" t="s">
        <v>51</v>
      </c>
      <c r="F17" s="80" t="s">
        <v>286</v>
      </c>
    </row>
    <row r="18" spans="1:6" hidden="1">
      <c r="B18" s="80" t="s">
        <v>287</v>
      </c>
      <c r="C18" s="80" t="s">
        <v>288</v>
      </c>
      <c r="D18" s="80" t="s">
        <v>288</v>
      </c>
      <c r="E18" s="80" t="s">
        <v>288</v>
      </c>
      <c r="F18" s="80" t="s">
        <v>289</v>
      </c>
    </row>
    <row r="19" spans="1:6" hidden="1">
      <c r="B19" s="80"/>
      <c r="C19" s="80"/>
      <c r="D19" s="80"/>
      <c r="E19" s="80"/>
      <c r="F19" s="80"/>
    </row>
    <row r="20" spans="1:6" hidden="1">
      <c r="A20" s="80">
        <f>Premiums!$B$7</f>
        <v>19.3</v>
      </c>
      <c r="B20" s="116">
        <f>A17</f>
        <v>2017</v>
      </c>
      <c r="C20" s="117">
        <v>0</v>
      </c>
      <c r="D20" s="117">
        <v>0</v>
      </c>
      <c r="E20" s="117">
        <v>0</v>
      </c>
      <c r="F20" s="117">
        <v>0</v>
      </c>
    </row>
    <row r="21" spans="1:6" hidden="1">
      <c r="A21" s="80">
        <f>Premiums!$C$7</f>
        <v>19.399999999999999</v>
      </c>
      <c r="B21" s="116">
        <f t="shared" ref="B21:B22" si="1">B20</f>
        <v>2017</v>
      </c>
      <c r="C21" s="117">
        <v>0</v>
      </c>
      <c r="D21" s="117">
        <v>0</v>
      </c>
      <c r="E21" s="117">
        <v>0</v>
      </c>
      <c r="F21" s="117">
        <v>0</v>
      </c>
    </row>
    <row r="22" spans="1:6" hidden="1">
      <c r="A22" s="80">
        <f>Premiums!$D$7</f>
        <v>21.2</v>
      </c>
      <c r="B22" s="116">
        <f t="shared" si="1"/>
        <v>2017</v>
      </c>
      <c r="C22" s="117">
        <v>0</v>
      </c>
      <c r="D22" s="117">
        <v>0</v>
      </c>
      <c r="E22" s="117">
        <v>0</v>
      </c>
      <c r="F22" s="117">
        <v>0</v>
      </c>
    </row>
    <row r="23" spans="1:6" hidden="1">
      <c r="A23" s="80"/>
      <c r="C23" s="80"/>
      <c r="D23" s="80"/>
      <c r="E23" s="80"/>
      <c r="F23" s="80"/>
    </row>
    <row r="24" spans="1:6" hidden="1">
      <c r="A24" s="80"/>
      <c r="B24" s="80" t="s">
        <v>271</v>
      </c>
      <c r="C24" s="118">
        <f>SUM(C20:C22)</f>
        <v>0</v>
      </c>
      <c r="D24" s="118">
        <f>SUM(D20:D22)</f>
        <v>0</v>
      </c>
      <c r="E24" s="118">
        <f>SUM(E20:E22)</f>
        <v>0</v>
      </c>
      <c r="F24" s="118">
        <f>SUM(F20:F22)</f>
        <v>0</v>
      </c>
    </row>
    <row r="25" spans="1:6" hidden="1">
      <c r="A25" s="80"/>
      <c r="C25" s="80"/>
      <c r="D25" s="80"/>
      <c r="E25" s="80"/>
      <c r="F25" s="80"/>
    </row>
    <row r="26" spans="1:6" hidden="1">
      <c r="A26" s="86">
        <v>2016</v>
      </c>
      <c r="B26" s="80" t="s">
        <v>283</v>
      </c>
      <c r="C26" s="80" t="s">
        <v>284</v>
      </c>
      <c r="D26" s="80" t="s">
        <v>285</v>
      </c>
      <c r="E26" s="80" t="s">
        <v>51</v>
      </c>
      <c r="F26" s="80" t="s">
        <v>286</v>
      </c>
    </row>
    <row r="27" spans="1:6" hidden="1">
      <c r="B27" s="80" t="s">
        <v>287</v>
      </c>
      <c r="C27" s="80" t="s">
        <v>288</v>
      </c>
      <c r="D27" s="80" t="s">
        <v>288</v>
      </c>
      <c r="E27" s="80" t="s">
        <v>288</v>
      </c>
      <c r="F27" s="80" t="s">
        <v>289</v>
      </c>
    </row>
    <row r="28" spans="1:6" hidden="1">
      <c r="B28" s="80"/>
      <c r="C28" s="80"/>
      <c r="D28" s="80"/>
      <c r="E28" s="80"/>
      <c r="F28" s="80"/>
    </row>
    <row r="29" spans="1:6" hidden="1">
      <c r="A29" s="80">
        <f>Premiums!$B$7</f>
        <v>19.3</v>
      </c>
      <c r="B29" s="116">
        <f>A26</f>
        <v>2016</v>
      </c>
      <c r="C29" s="117">
        <v>0</v>
      </c>
      <c r="D29" s="117">
        <v>0</v>
      </c>
      <c r="E29" s="117">
        <v>0</v>
      </c>
      <c r="F29" s="117">
        <v>0</v>
      </c>
    </row>
    <row r="30" spans="1:6" hidden="1">
      <c r="A30" s="80">
        <f>Premiums!$C$7</f>
        <v>19.399999999999999</v>
      </c>
      <c r="B30" s="116">
        <f t="shared" ref="B30:B31" si="2">B29</f>
        <v>2016</v>
      </c>
      <c r="C30" s="117">
        <v>0</v>
      </c>
      <c r="D30" s="117">
        <v>0</v>
      </c>
      <c r="E30" s="117">
        <v>0</v>
      </c>
      <c r="F30" s="117">
        <v>0</v>
      </c>
    </row>
    <row r="31" spans="1:6" hidden="1">
      <c r="A31" s="80">
        <f>Premiums!$D$7</f>
        <v>21.2</v>
      </c>
      <c r="B31" s="116">
        <f t="shared" si="2"/>
        <v>2016</v>
      </c>
      <c r="C31" s="117">
        <v>0</v>
      </c>
      <c r="D31" s="117">
        <v>0</v>
      </c>
      <c r="E31" s="117">
        <v>0</v>
      </c>
      <c r="F31" s="117">
        <v>0</v>
      </c>
    </row>
    <row r="32" spans="1:6" hidden="1">
      <c r="C32" s="80"/>
      <c r="D32" s="80"/>
      <c r="E32" s="80"/>
      <c r="F32" s="80"/>
    </row>
    <row r="33" spans="1:6" hidden="1">
      <c r="B33" s="80" t="s">
        <v>271</v>
      </c>
      <c r="C33" s="118">
        <f>SUM(C29:C31)</f>
        <v>0</v>
      </c>
      <c r="D33" s="118">
        <f>SUM(D29:D31)</f>
        <v>0</v>
      </c>
      <c r="E33" s="118">
        <f>SUM(E29:E31)</f>
        <v>0</v>
      </c>
      <c r="F33" s="118">
        <f>SUM(F29:F31)</f>
        <v>0</v>
      </c>
    </row>
    <row r="34" spans="1:6" hidden="1">
      <c r="C34" s="80"/>
      <c r="D34" s="80"/>
      <c r="E34" s="80"/>
      <c r="F34" s="80"/>
    </row>
    <row r="35" spans="1:6" hidden="1">
      <c r="A35" s="86">
        <v>2015</v>
      </c>
      <c r="B35" s="80" t="s">
        <v>283</v>
      </c>
      <c r="C35" s="80" t="s">
        <v>284</v>
      </c>
      <c r="D35" s="80" t="s">
        <v>285</v>
      </c>
      <c r="E35" s="80" t="s">
        <v>51</v>
      </c>
      <c r="F35" s="80" t="s">
        <v>286</v>
      </c>
    </row>
    <row r="36" spans="1:6" hidden="1">
      <c r="B36" s="80" t="s">
        <v>287</v>
      </c>
      <c r="C36" s="80" t="s">
        <v>288</v>
      </c>
      <c r="D36" s="80" t="s">
        <v>288</v>
      </c>
      <c r="E36" s="80" t="s">
        <v>288</v>
      </c>
      <c r="F36" s="80" t="s">
        <v>289</v>
      </c>
    </row>
    <row r="37" spans="1:6" hidden="1">
      <c r="B37" s="80"/>
      <c r="C37" s="80"/>
      <c r="D37" s="80"/>
      <c r="E37" s="80"/>
      <c r="F37" s="80"/>
    </row>
    <row r="38" spans="1:6" hidden="1">
      <c r="A38" s="80">
        <f>Premiums!$B$7</f>
        <v>19.3</v>
      </c>
      <c r="B38" s="116">
        <f>A35</f>
        <v>2015</v>
      </c>
      <c r="C38" s="117">
        <v>0</v>
      </c>
      <c r="D38" s="117">
        <v>0</v>
      </c>
      <c r="E38" s="117">
        <v>0</v>
      </c>
      <c r="F38" s="117">
        <v>0</v>
      </c>
    </row>
    <row r="39" spans="1:6" hidden="1">
      <c r="A39" s="80">
        <f>Premiums!$C$7</f>
        <v>19.399999999999999</v>
      </c>
      <c r="B39" s="116">
        <f t="shared" ref="B39:B40" si="3">B38</f>
        <v>2015</v>
      </c>
      <c r="C39" s="117">
        <v>0</v>
      </c>
      <c r="D39" s="117">
        <v>0</v>
      </c>
      <c r="E39" s="117">
        <v>0</v>
      </c>
      <c r="F39" s="117">
        <v>0</v>
      </c>
    </row>
    <row r="40" spans="1:6" hidden="1">
      <c r="A40" s="80">
        <f>Premiums!$D$7</f>
        <v>21.2</v>
      </c>
      <c r="B40" s="116">
        <f t="shared" si="3"/>
        <v>2015</v>
      </c>
      <c r="C40" s="117">
        <v>0</v>
      </c>
      <c r="D40" s="117">
        <v>0</v>
      </c>
      <c r="E40" s="117">
        <v>0</v>
      </c>
      <c r="F40" s="117">
        <v>0</v>
      </c>
    </row>
    <row r="41" spans="1:6" hidden="1">
      <c r="C41" s="80"/>
      <c r="D41" s="80"/>
      <c r="E41" s="80"/>
      <c r="F41" s="80"/>
    </row>
    <row r="42" spans="1:6" hidden="1">
      <c r="B42" s="80" t="s">
        <v>271</v>
      </c>
      <c r="C42" s="118">
        <f>SUM(C38:C40)</f>
        <v>0</v>
      </c>
      <c r="D42" s="118">
        <f>SUM(D38:D40)</f>
        <v>0</v>
      </c>
      <c r="E42" s="118">
        <f>SUM(E38:E40)</f>
        <v>0</v>
      </c>
      <c r="F42" s="118">
        <f>SUM(F38:F40)</f>
        <v>0</v>
      </c>
    </row>
    <row r="43" spans="1:6" hidden="1"/>
    <row r="44" spans="1:6" hidden="1">
      <c r="A44" s="86">
        <v>2014</v>
      </c>
      <c r="B44" s="80" t="s">
        <v>283</v>
      </c>
      <c r="C44" s="80" t="s">
        <v>284</v>
      </c>
      <c r="D44" s="80" t="s">
        <v>285</v>
      </c>
      <c r="E44" s="80" t="s">
        <v>51</v>
      </c>
      <c r="F44" s="80" t="s">
        <v>286</v>
      </c>
    </row>
    <row r="45" spans="1:6" hidden="1">
      <c r="B45" s="80" t="s">
        <v>287</v>
      </c>
      <c r="C45" s="80" t="s">
        <v>288</v>
      </c>
      <c r="D45" s="80" t="s">
        <v>288</v>
      </c>
      <c r="E45" s="80" t="s">
        <v>288</v>
      </c>
      <c r="F45" s="80" t="s">
        <v>289</v>
      </c>
    </row>
    <row r="46" spans="1:6" hidden="1">
      <c r="B46" s="80"/>
      <c r="C46" s="80"/>
      <c r="D46" s="80"/>
      <c r="E46" s="80"/>
      <c r="F46" s="80"/>
    </row>
    <row r="47" spans="1:6" hidden="1">
      <c r="A47" s="80">
        <f>Premiums!$B$7</f>
        <v>19.3</v>
      </c>
      <c r="B47" s="116">
        <f>A44</f>
        <v>2014</v>
      </c>
      <c r="C47" s="117">
        <v>0</v>
      </c>
      <c r="D47" s="117">
        <v>0</v>
      </c>
      <c r="E47" s="117">
        <v>0</v>
      </c>
      <c r="F47" s="117">
        <v>0</v>
      </c>
    </row>
    <row r="48" spans="1:6" hidden="1">
      <c r="A48" s="80">
        <f>Premiums!$C$7</f>
        <v>19.399999999999999</v>
      </c>
      <c r="B48" s="116">
        <f t="shared" ref="B48:B49" si="4">B47</f>
        <v>2014</v>
      </c>
      <c r="C48" s="117">
        <v>0</v>
      </c>
      <c r="D48" s="117">
        <v>0</v>
      </c>
      <c r="E48" s="117">
        <v>0</v>
      </c>
      <c r="F48" s="117">
        <v>0</v>
      </c>
    </row>
    <row r="49" spans="1:6" hidden="1">
      <c r="A49" s="80">
        <f>Premiums!$D$7</f>
        <v>21.2</v>
      </c>
      <c r="B49" s="116">
        <f t="shared" si="4"/>
        <v>2014</v>
      </c>
      <c r="C49" s="117">
        <v>0</v>
      </c>
      <c r="D49" s="117">
        <v>0</v>
      </c>
      <c r="E49" s="117">
        <v>0</v>
      </c>
      <c r="F49" s="117">
        <v>0</v>
      </c>
    </row>
    <row r="50" spans="1:6" hidden="1">
      <c r="C50" s="80"/>
      <c r="D50" s="80"/>
      <c r="E50" s="80"/>
      <c r="F50" s="80"/>
    </row>
    <row r="51" spans="1:6" hidden="1">
      <c r="B51" s="80" t="s">
        <v>271</v>
      </c>
      <c r="C51" s="118">
        <f>SUM(C47:C49)</f>
        <v>0</v>
      </c>
      <c r="D51" s="118">
        <f>SUM(D47:D49)</f>
        <v>0</v>
      </c>
      <c r="E51" s="118">
        <f>SUM(E47:E49)</f>
        <v>0</v>
      </c>
      <c r="F51" s="118">
        <f>SUM(F47:F49)</f>
        <v>0</v>
      </c>
    </row>
    <row r="52" spans="1:6" hidden="1"/>
    <row r="53" spans="1:6" hidden="1">
      <c r="A53" s="86">
        <v>2013</v>
      </c>
      <c r="B53" s="80" t="s">
        <v>283</v>
      </c>
      <c r="C53" s="80" t="s">
        <v>284</v>
      </c>
      <c r="D53" s="80" t="s">
        <v>285</v>
      </c>
      <c r="E53" s="80" t="s">
        <v>51</v>
      </c>
      <c r="F53" s="80" t="s">
        <v>286</v>
      </c>
    </row>
    <row r="54" spans="1:6" hidden="1">
      <c r="B54" s="80" t="s">
        <v>287</v>
      </c>
      <c r="C54" s="80" t="s">
        <v>288</v>
      </c>
      <c r="D54" s="80" t="s">
        <v>288</v>
      </c>
      <c r="E54" s="80" t="s">
        <v>288</v>
      </c>
      <c r="F54" s="80" t="s">
        <v>289</v>
      </c>
    </row>
    <row r="55" spans="1:6" hidden="1">
      <c r="B55" s="80"/>
      <c r="C55" s="80"/>
      <c r="D55" s="80"/>
      <c r="E55" s="80"/>
      <c r="F55" s="80"/>
    </row>
    <row r="56" spans="1:6" hidden="1">
      <c r="A56" s="80">
        <f>Premiums!$B$7</f>
        <v>19.3</v>
      </c>
      <c r="B56" s="116">
        <f>A53</f>
        <v>2013</v>
      </c>
      <c r="C56" s="117">
        <v>0</v>
      </c>
      <c r="D56" s="117">
        <v>0</v>
      </c>
      <c r="E56" s="117">
        <v>0</v>
      </c>
      <c r="F56" s="117">
        <v>0</v>
      </c>
    </row>
    <row r="57" spans="1:6" hidden="1">
      <c r="A57" s="80">
        <f>Premiums!$C$7</f>
        <v>19.399999999999999</v>
      </c>
      <c r="B57" s="116">
        <f t="shared" ref="B57:B58" si="5">B56</f>
        <v>2013</v>
      </c>
      <c r="C57" s="117">
        <v>0</v>
      </c>
      <c r="D57" s="117">
        <v>0</v>
      </c>
      <c r="E57" s="117">
        <v>0</v>
      </c>
      <c r="F57" s="117">
        <v>0</v>
      </c>
    </row>
    <row r="58" spans="1:6" hidden="1">
      <c r="A58" s="80">
        <f>Premiums!$D$7</f>
        <v>21.2</v>
      </c>
      <c r="B58" s="116">
        <f t="shared" si="5"/>
        <v>2013</v>
      </c>
      <c r="C58" s="117">
        <v>0</v>
      </c>
      <c r="D58" s="117">
        <v>0</v>
      </c>
      <c r="E58" s="117">
        <v>0</v>
      </c>
      <c r="F58" s="117">
        <v>0</v>
      </c>
    </row>
    <row r="59" spans="1:6" hidden="1">
      <c r="C59" s="80"/>
      <c r="D59" s="80"/>
      <c r="E59" s="80"/>
      <c r="F59" s="80"/>
    </row>
    <row r="60" spans="1:6" hidden="1">
      <c r="B60" s="80" t="s">
        <v>271</v>
      </c>
      <c r="C60" s="118">
        <f>SUM(C56:C58)</f>
        <v>0</v>
      </c>
      <c r="D60" s="118">
        <f>SUM(D56:D58)</f>
        <v>0</v>
      </c>
      <c r="E60" s="118">
        <f>SUM(E56:E58)</f>
        <v>0</v>
      </c>
      <c r="F60" s="118">
        <f>SUM(F56:F58)</f>
        <v>0</v>
      </c>
    </row>
    <row r="62" spans="1:6">
      <c r="A62" s="86">
        <v>2013</v>
      </c>
      <c r="B62" s="80" t="s">
        <v>283</v>
      </c>
      <c r="C62" s="80" t="s">
        <v>284</v>
      </c>
      <c r="D62" s="80" t="s">
        <v>285</v>
      </c>
      <c r="E62" s="80" t="s">
        <v>51</v>
      </c>
      <c r="F62" s="80" t="s">
        <v>286</v>
      </c>
    </row>
    <row r="63" spans="1:6">
      <c r="B63" s="80" t="s">
        <v>287</v>
      </c>
      <c r="C63" s="80" t="s">
        <v>288</v>
      </c>
      <c r="D63" s="80" t="s">
        <v>288</v>
      </c>
      <c r="E63" s="80" t="s">
        <v>288</v>
      </c>
      <c r="F63" s="80" t="s">
        <v>289</v>
      </c>
    </row>
    <row r="64" spans="1:6">
      <c r="B64" s="80"/>
      <c r="C64" s="80"/>
      <c r="D64" s="80"/>
      <c r="E64" s="80"/>
      <c r="F64" s="80"/>
    </row>
    <row r="65" spans="1:6">
      <c r="A65" s="80">
        <f>Premiums!$B$7</f>
        <v>19.3</v>
      </c>
      <c r="B65" s="116">
        <f>A62</f>
        <v>2013</v>
      </c>
      <c r="C65" s="117">
        <v>0</v>
      </c>
      <c r="D65" s="117">
        <v>0</v>
      </c>
      <c r="E65" s="117">
        <v>0</v>
      </c>
      <c r="F65" s="117">
        <v>0</v>
      </c>
    </row>
    <row r="66" spans="1:6">
      <c r="A66" s="80">
        <f>Premiums!$C$7</f>
        <v>19.399999999999999</v>
      </c>
      <c r="B66" s="116">
        <f t="shared" ref="B66:B67" si="6">B65</f>
        <v>2013</v>
      </c>
      <c r="C66" s="117">
        <v>0</v>
      </c>
      <c r="D66" s="117">
        <v>0</v>
      </c>
      <c r="E66" s="117">
        <v>0</v>
      </c>
      <c r="F66" s="117">
        <v>0</v>
      </c>
    </row>
    <row r="67" spans="1:6">
      <c r="A67" s="80">
        <f>Premiums!$D$7</f>
        <v>21.2</v>
      </c>
      <c r="B67" s="116">
        <f t="shared" si="6"/>
        <v>2013</v>
      </c>
      <c r="C67" s="117">
        <v>0</v>
      </c>
      <c r="D67" s="117">
        <v>0</v>
      </c>
      <c r="E67" s="117">
        <v>0</v>
      </c>
      <c r="F67" s="117">
        <v>0</v>
      </c>
    </row>
    <row r="68" spans="1:6">
      <c r="C68" s="80"/>
      <c r="D68" s="80"/>
      <c r="E68" s="80"/>
      <c r="F68" s="80"/>
    </row>
    <row r="69" spans="1:6">
      <c r="B69" s="80" t="s">
        <v>271</v>
      </c>
      <c r="C69" s="118">
        <f>SUM(C65:C67)</f>
        <v>0</v>
      </c>
      <c r="D69" s="118">
        <f>SUM(D65:D67)</f>
        <v>0</v>
      </c>
      <c r="E69" s="118">
        <f>SUM(E65:E67)</f>
        <v>0</v>
      </c>
      <c r="F69" s="118">
        <f>SUM(F65:F67)</f>
        <v>0</v>
      </c>
    </row>
    <row r="70" spans="1:6">
      <c r="B70" s="80"/>
      <c r="C70" s="87"/>
      <c r="D70" s="87"/>
      <c r="E70" s="87"/>
      <c r="F70" s="87"/>
    </row>
    <row r="71" spans="1:6">
      <c r="A71" s="86"/>
      <c r="B71" s="80"/>
      <c r="C71" s="80"/>
      <c r="D71" s="80"/>
      <c r="E71" s="80"/>
      <c r="F71" s="80"/>
    </row>
    <row r="72" spans="1:6">
      <c r="A72" s="119"/>
      <c r="B72" s="120" t="s">
        <v>290</v>
      </c>
      <c r="C72" s="120" t="s">
        <v>284</v>
      </c>
      <c r="D72" s="120" t="s">
        <v>285</v>
      </c>
      <c r="E72" s="120" t="s">
        <v>51</v>
      </c>
      <c r="F72" s="120" t="s">
        <v>286</v>
      </c>
    </row>
    <row r="73" spans="1:6">
      <c r="A73" s="119"/>
      <c r="B73" s="120" t="s">
        <v>291</v>
      </c>
      <c r="C73" s="120" t="s">
        <v>288</v>
      </c>
      <c r="D73" s="120" t="s">
        <v>288</v>
      </c>
      <c r="E73" s="120" t="s">
        <v>288</v>
      </c>
      <c r="F73" s="120" t="s">
        <v>289</v>
      </c>
    </row>
    <row r="74" spans="1:6">
      <c r="A74" s="119"/>
      <c r="B74" s="120"/>
      <c r="C74" s="121"/>
      <c r="D74" s="121"/>
      <c r="E74" s="121"/>
      <c r="F74" s="121"/>
    </row>
    <row r="75" spans="1:6">
      <c r="A75" s="120">
        <f>Premiums!$B$7</f>
        <v>19.3</v>
      </c>
      <c r="B75" s="120"/>
      <c r="C75" s="122">
        <f t="shared" ref="C75:F77" si="7">C11+C20+C29+C38+C47+C56+C65</f>
        <v>0</v>
      </c>
      <c r="D75" s="122">
        <f t="shared" si="7"/>
        <v>0</v>
      </c>
      <c r="E75" s="122">
        <f t="shared" si="7"/>
        <v>0</v>
      </c>
      <c r="F75" s="122">
        <f t="shared" si="7"/>
        <v>0</v>
      </c>
    </row>
    <row r="76" spans="1:6">
      <c r="A76" s="120">
        <f>Premiums!$C$7</f>
        <v>19.399999999999999</v>
      </c>
      <c r="B76" s="120"/>
      <c r="C76" s="122">
        <f t="shared" si="7"/>
        <v>0</v>
      </c>
      <c r="D76" s="122">
        <f t="shared" si="7"/>
        <v>0</v>
      </c>
      <c r="E76" s="122">
        <f t="shared" si="7"/>
        <v>0</v>
      </c>
      <c r="F76" s="122">
        <f t="shared" si="7"/>
        <v>0</v>
      </c>
    </row>
    <row r="77" spans="1:6">
      <c r="A77" s="120">
        <f>Premiums!$D$7</f>
        <v>21.2</v>
      </c>
      <c r="B77" s="120"/>
      <c r="C77" s="122">
        <f t="shared" si="7"/>
        <v>0</v>
      </c>
      <c r="D77" s="122">
        <f t="shared" si="7"/>
        <v>0</v>
      </c>
      <c r="E77" s="122">
        <f t="shared" si="7"/>
        <v>0</v>
      </c>
      <c r="F77" s="122">
        <f t="shared" si="7"/>
        <v>0</v>
      </c>
    </row>
    <row r="78" spans="1:6">
      <c r="A78" s="120"/>
      <c r="B78" s="119"/>
      <c r="C78" s="122"/>
      <c r="D78" s="122"/>
      <c r="E78" s="122"/>
      <c r="F78" s="122"/>
    </row>
    <row r="79" spans="1:6">
      <c r="A79" s="119"/>
      <c r="B79" s="120" t="s">
        <v>271</v>
      </c>
      <c r="C79" s="122">
        <f>SUM(C75:C77)</f>
        <v>0</v>
      </c>
      <c r="D79" s="122">
        <f>SUM(D75:D77)</f>
        <v>0</v>
      </c>
      <c r="E79" s="122">
        <f>SUM(E75:E77)</f>
        <v>0</v>
      </c>
      <c r="F79" s="122">
        <f>SUM(F75:F77)</f>
        <v>0</v>
      </c>
    </row>
    <row r="82" spans="1:6" hidden="1">
      <c r="B82" s="80"/>
      <c r="C82" s="80" t="s">
        <v>284</v>
      </c>
      <c r="D82" s="80" t="s">
        <v>285</v>
      </c>
      <c r="E82" s="80" t="s">
        <v>51</v>
      </c>
      <c r="F82" s="80" t="s">
        <v>286</v>
      </c>
    </row>
    <row r="83" spans="1:6" hidden="1">
      <c r="B83" s="80" t="s">
        <v>292</v>
      </c>
      <c r="C83" s="80" t="s">
        <v>288</v>
      </c>
      <c r="D83" s="80" t="s">
        <v>288</v>
      </c>
      <c r="E83" s="80" t="s">
        <v>288</v>
      </c>
      <c r="F83" s="80" t="s">
        <v>289</v>
      </c>
    </row>
    <row r="84" spans="1:6" hidden="1">
      <c r="B84" s="80"/>
      <c r="C84" s="80"/>
      <c r="D84" s="80"/>
      <c r="E84" s="80"/>
      <c r="F84" s="80"/>
    </row>
    <row r="85" spans="1:6" hidden="1">
      <c r="A85" s="80">
        <f>Premiums!$B$7</f>
        <v>19.3</v>
      </c>
      <c r="B85" s="80"/>
      <c r="C85" s="117">
        <v>0</v>
      </c>
      <c r="D85" s="117">
        <v>0</v>
      </c>
      <c r="E85" s="117">
        <v>0</v>
      </c>
      <c r="F85" s="80" t="s">
        <v>293</v>
      </c>
    </row>
    <row r="86" spans="1:6" hidden="1">
      <c r="A86" s="80">
        <f>Premiums!$C$7</f>
        <v>19.399999999999999</v>
      </c>
      <c r="B86" s="80"/>
      <c r="C86" s="117">
        <v>0</v>
      </c>
      <c r="D86" s="117">
        <v>0</v>
      </c>
      <c r="E86" s="117">
        <v>0</v>
      </c>
      <c r="F86" s="80" t="s">
        <v>293</v>
      </c>
    </row>
    <row r="87" spans="1:6" hidden="1">
      <c r="A87" s="80">
        <f>Premiums!$D$7</f>
        <v>21.2</v>
      </c>
      <c r="B87" s="80"/>
      <c r="C87" s="117">
        <v>0</v>
      </c>
      <c r="D87" s="117">
        <v>0</v>
      </c>
      <c r="E87" s="117">
        <v>0</v>
      </c>
      <c r="F87" s="80" t="s">
        <v>293</v>
      </c>
    </row>
    <row r="88" spans="1:6" hidden="1">
      <c r="C88" s="123"/>
      <c r="D88" s="123"/>
      <c r="E88" s="123"/>
      <c r="F88" s="80"/>
    </row>
    <row r="89" spans="1:6" hidden="1">
      <c r="B89" s="80" t="s">
        <v>271</v>
      </c>
      <c r="C89" s="123">
        <f>SUM(C85:C87)</f>
        <v>0</v>
      </c>
      <c r="D89" s="123">
        <f>SUM(D85:D87)</f>
        <v>0</v>
      </c>
      <c r="E89" s="123">
        <f>SUM(E85:E87)</f>
        <v>0</v>
      </c>
      <c r="F89" s="80" t="s">
        <v>293</v>
      </c>
    </row>
    <row r="90" spans="1:6" hidden="1">
      <c r="B90" s="80"/>
      <c r="C90" s="80"/>
      <c r="D90" s="80"/>
      <c r="E90" s="80"/>
      <c r="F90" s="80"/>
    </row>
    <row r="91" spans="1:6" hidden="1"/>
    <row r="92" spans="1:6" hidden="1">
      <c r="A92" s="124"/>
      <c r="B92" s="116"/>
      <c r="C92" s="116" t="s">
        <v>284</v>
      </c>
      <c r="D92" s="116" t="s">
        <v>285</v>
      </c>
      <c r="E92" s="116" t="s">
        <v>51</v>
      </c>
      <c r="F92" s="116" t="s">
        <v>286</v>
      </c>
    </row>
    <row r="93" spans="1:6" hidden="1">
      <c r="A93" s="124"/>
      <c r="B93" s="116" t="s">
        <v>276</v>
      </c>
      <c r="C93" s="116" t="s">
        <v>288</v>
      </c>
      <c r="D93" s="116" t="s">
        <v>288</v>
      </c>
      <c r="E93" s="116" t="s">
        <v>288</v>
      </c>
      <c r="F93" s="116" t="s">
        <v>289</v>
      </c>
    </row>
    <row r="94" spans="1:6" hidden="1">
      <c r="A94" s="124"/>
      <c r="B94" s="116"/>
      <c r="C94" s="116"/>
      <c r="D94" s="116"/>
      <c r="E94" s="116"/>
      <c r="F94" s="116"/>
    </row>
    <row r="95" spans="1:6" hidden="1">
      <c r="A95" s="116">
        <f>Premiums!$B$7</f>
        <v>19.3</v>
      </c>
      <c r="B95" s="116"/>
      <c r="C95" s="125">
        <f t="shared" ref="C95:E97" si="8">C75-C85</f>
        <v>0</v>
      </c>
      <c r="D95" s="125">
        <f t="shared" si="8"/>
        <v>0</v>
      </c>
      <c r="E95" s="125">
        <f t="shared" si="8"/>
        <v>0</v>
      </c>
      <c r="F95" s="116" t="s">
        <v>293</v>
      </c>
    </row>
    <row r="96" spans="1:6" hidden="1">
      <c r="A96" s="116">
        <f>Premiums!$C$7</f>
        <v>19.399999999999999</v>
      </c>
      <c r="B96" s="116"/>
      <c r="C96" s="125">
        <f t="shared" si="8"/>
        <v>0</v>
      </c>
      <c r="D96" s="125">
        <f t="shared" si="8"/>
        <v>0</v>
      </c>
      <c r="E96" s="125">
        <f t="shared" si="8"/>
        <v>0</v>
      </c>
      <c r="F96" s="116" t="s">
        <v>293</v>
      </c>
    </row>
    <row r="97" spans="1:6" hidden="1">
      <c r="A97" s="116">
        <f>Premiums!$D$7</f>
        <v>21.2</v>
      </c>
      <c r="B97" s="116"/>
      <c r="C97" s="125">
        <f t="shared" si="8"/>
        <v>0</v>
      </c>
      <c r="D97" s="125">
        <f t="shared" si="8"/>
        <v>0</v>
      </c>
      <c r="E97" s="125">
        <f t="shared" si="8"/>
        <v>0</v>
      </c>
      <c r="F97" s="116" t="s">
        <v>293</v>
      </c>
    </row>
    <row r="98" spans="1:6" hidden="1">
      <c r="A98" s="124"/>
      <c r="B98" s="124"/>
      <c r="C98" s="125"/>
      <c r="D98" s="125"/>
      <c r="E98" s="125"/>
      <c r="F98" s="116"/>
    </row>
    <row r="99" spans="1:6" hidden="1">
      <c r="A99" s="124"/>
      <c r="B99" s="116" t="s">
        <v>271</v>
      </c>
      <c r="C99" s="125">
        <f>SUM(C95:C97)</f>
        <v>0</v>
      </c>
      <c r="D99" s="125">
        <f>SUM(D95:D97)</f>
        <v>0</v>
      </c>
      <c r="E99" s="125">
        <f>SUM(E95:E97)</f>
        <v>0</v>
      </c>
      <c r="F99" s="116" t="s">
        <v>293</v>
      </c>
    </row>
    <row r="100" spans="1:6" hidden="1"/>
    <row r="101" spans="1:6" hidden="1"/>
    <row r="102" spans="1:6" hidden="1"/>
    <row r="103" spans="1:6" hidden="1"/>
    <row r="104" spans="1:6" hidden="1"/>
    <row r="105" spans="1:6" ht="18" hidden="1">
      <c r="A105" s="126" t="s">
        <v>277</v>
      </c>
      <c r="B105" s="126"/>
      <c r="C105" s="126"/>
      <c r="D105" s="126"/>
      <c r="E105" s="126"/>
      <c r="F105" s="126"/>
    </row>
    <row r="106" spans="1:6" hidden="1">
      <c r="B106" s="80"/>
      <c r="C106" s="80" t="s">
        <v>284</v>
      </c>
      <c r="D106" s="80" t="s">
        <v>285</v>
      </c>
      <c r="E106" s="80" t="s">
        <v>51</v>
      </c>
      <c r="F106" s="80" t="s">
        <v>286</v>
      </c>
    </row>
    <row r="107" spans="1:6" hidden="1">
      <c r="B107" s="80" t="str">
        <f>Premiums!A30</f>
        <v>12/2011 Accrual Reversal</v>
      </c>
      <c r="C107" s="80" t="s">
        <v>288</v>
      </c>
      <c r="D107" s="80" t="s">
        <v>288</v>
      </c>
      <c r="E107" s="80" t="s">
        <v>288</v>
      </c>
      <c r="F107" s="80" t="s">
        <v>289</v>
      </c>
    </row>
    <row r="108" spans="1:6" hidden="1">
      <c r="B108" s="80"/>
      <c r="C108" s="80"/>
      <c r="D108" s="80"/>
      <c r="E108" s="80"/>
      <c r="F108" s="80"/>
    </row>
    <row r="109" spans="1:6" hidden="1">
      <c r="A109" s="80">
        <f>Premiums!$B$7</f>
        <v>19.3</v>
      </c>
      <c r="B109" s="80"/>
      <c r="C109" s="117">
        <v>0</v>
      </c>
      <c r="D109" s="117">
        <v>0</v>
      </c>
      <c r="E109" s="117">
        <v>0</v>
      </c>
      <c r="F109" s="80" t="s">
        <v>293</v>
      </c>
    </row>
    <row r="110" spans="1:6" hidden="1">
      <c r="A110" s="80">
        <f>Premiums!$C$7</f>
        <v>19.399999999999999</v>
      </c>
      <c r="B110" s="80"/>
      <c r="C110" s="117">
        <v>0</v>
      </c>
      <c r="D110" s="117">
        <v>0</v>
      </c>
      <c r="E110" s="117">
        <v>0</v>
      </c>
      <c r="F110" s="80" t="s">
        <v>293</v>
      </c>
    </row>
    <row r="111" spans="1:6" hidden="1">
      <c r="A111" s="80">
        <f>Premiums!$D$7</f>
        <v>21.2</v>
      </c>
      <c r="B111" s="80"/>
      <c r="C111" s="117">
        <v>0</v>
      </c>
      <c r="D111" s="117">
        <v>0</v>
      </c>
      <c r="E111" s="117">
        <v>0</v>
      </c>
      <c r="F111" s="80" t="s">
        <v>293</v>
      </c>
    </row>
    <row r="112" spans="1:6" hidden="1">
      <c r="C112" s="123"/>
      <c r="D112" s="123"/>
      <c r="E112" s="123"/>
      <c r="F112" s="80"/>
    </row>
    <row r="113" spans="1:6" hidden="1">
      <c r="B113" s="80" t="s">
        <v>271</v>
      </c>
      <c r="C113" s="123">
        <f>SUM(C109:C111)</f>
        <v>0</v>
      </c>
      <c r="D113" s="123">
        <f>SUM(D109:D111)</f>
        <v>0</v>
      </c>
      <c r="E113" s="123">
        <f>SUM(E109:E111)</f>
        <v>0</v>
      </c>
      <c r="F113" s="80" t="s">
        <v>293</v>
      </c>
    </row>
    <row r="114" spans="1:6" hidden="1">
      <c r="B114" s="80"/>
      <c r="C114" s="80"/>
      <c r="D114" s="80"/>
      <c r="E114" s="80"/>
      <c r="F114" s="80"/>
    </row>
    <row r="115" spans="1:6" hidden="1"/>
    <row r="116" spans="1:6" hidden="1">
      <c r="B116" s="80"/>
      <c r="C116" s="80" t="s">
        <v>284</v>
      </c>
      <c r="D116" s="80" t="s">
        <v>285</v>
      </c>
      <c r="E116" s="80" t="s">
        <v>51</v>
      </c>
      <c r="F116" s="80" t="s">
        <v>286</v>
      </c>
    </row>
    <row r="117" spans="1:6" hidden="1">
      <c r="B117" s="80" t="str">
        <f>Premiums!A31</f>
        <v>12/2012 Accrual</v>
      </c>
      <c r="C117" s="80" t="s">
        <v>288</v>
      </c>
      <c r="D117" s="80" t="s">
        <v>288</v>
      </c>
      <c r="E117" s="80" t="s">
        <v>288</v>
      </c>
      <c r="F117" s="80" t="s">
        <v>289</v>
      </c>
    </row>
    <row r="118" spans="1:6" hidden="1">
      <c r="B118" s="80"/>
      <c r="C118" s="80"/>
      <c r="D118" s="80"/>
      <c r="E118" s="80"/>
      <c r="F118" s="80"/>
    </row>
    <row r="119" spans="1:6" hidden="1">
      <c r="A119" s="80">
        <f>Premiums!$B$7</f>
        <v>19.3</v>
      </c>
      <c r="B119" s="80"/>
      <c r="C119" s="117">
        <v>0</v>
      </c>
      <c r="D119" s="117">
        <v>0</v>
      </c>
      <c r="E119" s="117">
        <v>0</v>
      </c>
      <c r="F119" s="80" t="s">
        <v>293</v>
      </c>
    </row>
    <row r="120" spans="1:6" hidden="1">
      <c r="A120" s="80">
        <f>Premiums!$C$7</f>
        <v>19.399999999999999</v>
      </c>
      <c r="B120" s="80"/>
      <c r="C120" s="117">
        <v>0</v>
      </c>
      <c r="D120" s="117">
        <v>0</v>
      </c>
      <c r="E120" s="117">
        <v>0</v>
      </c>
      <c r="F120" s="80" t="s">
        <v>293</v>
      </c>
    </row>
    <row r="121" spans="1:6" hidden="1">
      <c r="A121" s="80">
        <f>Premiums!$D$7</f>
        <v>21.2</v>
      </c>
      <c r="B121" s="80"/>
      <c r="C121" s="117">
        <v>0</v>
      </c>
      <c r="D121" s="117">
        <v>0</v>
      </c>
      <c r="E121" s="117">
        <v>0</v>
      </c>
      <c r="F121" s="80" t="s">
        <v>293</v>
      </c>
    </row>
    <row r="122" spans="1:6" hidden="1">
      <c r="C122" s="123"/>
      <c r="D122" s="123"/>
      <c r="E122" s="123"/>
      <c r="F122" s="80"/>
    </row>
    <row r="123" spans="1:6" hidden="1">
      <c r="B123" s="80" t="s">
        <v>271</v>
      </c>
      <c r="C123" s="123">
        <f>SUM(C119:C121)</f>
        <v>0</v>
      </c>
      <c r="D123" s="123">
        <f>SUM(D119:D121)</f>
        <v>0</v>
      </c>
      <c r="E123" s="123">
        <f>SUM(E119:E121)</f>
        <v>0</v>
      </c>
      <c r="F123" s="80" t="s">
        <v>293</v>
      </c>
    </row>
    <row r="124" spans="1:6" hidden="1">
      <c r="B124" s="80"/>
      <c r="C124" s="80"/>
      <c r="D124" s="80"/>
      <c r="E124" s="80"/>
      <c r="F124" s="80"/>
    </row>
    <row r="125" spans="1:6" hidden="1"/>
    <row r="126" spans="1:6" hidden="1">
      <c r="B126" s="80"/>
      <c r="C126" s="80" t="s">
        <v>284</v>
      </c>
      <c r="D126" s="80" t="s">
        <v>285</v>
      </c>
      <c r="E126" s="80" t="s">
        <v>51</v>
      </c>
      <c r="F126" s="80" t="s">
        <v>286</v>
      </c>
    </row>
    <row r="127" spans="1:6" hidden="1">
      <c r="B127" s="80" t="s">
        <v>280</v>
      </c>
      <c r="C127" s="80" t="s">
        <v>288</v>
      </c>
      <c r="D127" s="80" t="s">
        <v>288</v>
      </c>
      <c r="E127" s="80" t="s">
        <v>288</v>
      </c>
      <c r="F127" s="80" t="s">
        <v>289</v>
      </c>
    </row>
    <row r="128" spans="1:6" hidden="1">
      <c r="B128" s="80"/>
      <c r="C128" s="80"/>
      <c r="D128" s="80"/>
      <c r="E128" s="80"/>
      <c r="F128" s="80"/>
    </row>
    <row r="129" spans="1:6" hidden="1">
      <c r="A129" s="80">
        <f>Premiums!$B$7</f>
        <v>19.3</v>
      </c>
      <c r="B129" s="80"/>
      <c r="C129" s="117">
        <v>0</v>
      </c>
      <c r="D129" s="117">
        <v>0</v>
      </c>
      <c r="E129" s="117">
        <v>0</v>
      </c>
      <c r="F129" s="80" t="s">
        <v>293</v>
      </c>
    </row>
    <row r="130" spans="1:6" hidden="1">
      <c r="A130" s="80">
        <f>Premiums!$C$7</f>
        <v>19.399999999999999</v>
      </c>
      <c r="B130" s="80"/>
      <c r="C130" s="117">
        <v>0</v>
      </c>
      <c r="D130" s="117">
        <v>0</v>
      </c>
      <c r="E130" s="117">
        <v>0</v>
      </c>
      <c r="F130" s="80" t="s">
        <v>293</v>
      </c>
    </row>
    <row r="131" spans="1:6" hidden="1">
      <c r="A131" s="80">
        <f>Premiums!$D$7</f>
        <v>21.2</v>
      </c>
      <c r="B131" s="80"/>
      <c r="C131" s="117">
        <v>0</v>
      </c>
      <c r="D131" s="117">
        <v>0</v>
      </c>
      <c r="E131" s="117">
        <v>0</v>
      </c>
      <c r="F131" s="80" t="s">
        <v>293</v>
      </c>
    </row>
    <row r="132" spans="1:6" hidden="1">
      <c r="C132" s="123"/>
      <c r="D132" s="123"/>
      <c r="E132" s="123"/>
      <c r="F132" s="80"/>
    </row>
    <row r="133" spans="1:6" hidden="1">
      <c r="B133" s="80" t="s">
        <v>271</v>
      </c>
      <c r="C133" s="123">
        <f>SUM(C129:C131)</f>
        <v>0</v>
      </c>
      <c r="D133" s="123">
        <f>SUM(D129:D131)</f>
        <v>0</v>
      </c>
      <c r="E133" s="123">
        <f>SUM(E129:E131)</f>
        <v>0</v>
      </c>
      <c r="F133" s="80" t="s">
        <v>293</v>
      </c>
    </row>
    <row r="134" spans="1:6" hidden="1">
      <c r="B134" s="80"/>
      <c r="C134" s="80"/>
      <c r="D134" s="80"/>
      <c r="E134" s="80"/>
      <c r="F134" s="80"/>
    </row>
    <row r="135" spans="1:6" hidden="1"/>
    <row r="136" spans="1:6" hidden="1">
      <c r="A136" s="124"/>
      <c r="B136" s="116"/>
      <c r="C136" s="116" t="s">
        <v>284</v>
      </c>
      <c r="D136" s="116" t="s">
        <v>285</v>
      </c>
      <c r="E136" s="116" t="s">
        <v>51</v>
      </c>
      <c r="F136" s="116" t="s">
        <v>286</v>
      </c>
    </row>
    <row r="137" spans="1:6" hidden="1">
      <c r="A137" s="124"/>
      <c r="B137" s="116" t="s">
        <v>62</v>
      </c>
      <c r="C137" s="116" t="s">
        <v>288</v>
      </c>
      <c r="D137" s="116" t="s">
        <v>288</v>
      </c>
      <c r="E137" s="116" t="s">
        <v>288</v>
      </c>
      <c r="F137" s="116" t="s">
        <v>289</v>
      </c>
    </row>
    <row r="138" spans="1:6" hidden="1">
      <c r="A138" s="124"/>
      <c r="B138" s="116"/>
      <c r="C138" s="116"/>
      <c r="D138" s="116"/>
      <c r="E138" s="116"/>
      <c r="F138" s="116"/>
    </row>
    <row r="139" spans="1:6" hidden="1">
      <c r="A139" s="116">
        <f>Premiums!$B$7</f>
        <v>19.3</v>
      </c>
      <c r="B139" s="116"/>
      <c r="C139" s="125">
        <f t="shared" ref="C139:E141" si="9">+C129+C119+C109</f>
        <v>0</v>
      </c>
      <c r="D139" s="125">
        <f t="shared" si="9"/>
        <v>0</v>
      </c>
      <c r="E139" s="125">
        <f t="shared" si="9"/>
        <v>0</v>
      </c>
      <c r="F139" s="116" t="s">
        <v>293</v>
      </c>
    </row>
    <row r="140" spans="1:6" hidden="1">
      <c r="A140" s="116">
        <f>Premiums!$C$7</f>
        <v>19.399999999999999</v>
      </c>
      <c r="B140" s="116"/>
      <c r="C140" s="125">
        <f t="shared" si="9"/>
        <v>0</v>
      </c>
      <c r="D140" s="125">
        <f t="shared" si="9"/>
        <v>0</v>
      </c>
      <c r="E140" s="125">
        <f t="shared" si="9"/>
        <v>0</v>
      </c>
      <c r="F140" s="116" t="s">
        <v>293</v>
      </c>
    </row>
    <row r="141" spans="1:6" hidden="1">
      <c r="A141" s="116">
        <f>Premiums!$D$7</f>
        <v>21.2</v>
      </c>
      <c r="B141" s="116"/>
      <c r="C141" s="125">
        <f t="shared" si="9"/>
        <v>0</v>
      </c>
      <c r="D141" s="125">
        <f t="shared" si="9"/>
        <v>0</v>
      </c>
      <c r="E141" s="125">
        <f t="shared" si="9"/>
        <v>0</v>
      </c>
      <c r="F141" s="116" t="s">
        <v>293</v>
      </c>
    </row>
    <row r="142" spans="1:6" hidden="1">
      <c r="A142" s="124"/>
      <c r="B142" s="124"/>
      <c r="C142" s="125"/>
      <c r="D142" s="125"/>
      <c r="E142" s="125"/>
      <c r="F142" s="116"/>
    </row>
    <row r="143" spans="1:6" hidden="1">
      <c r="A143" s="124"/>
      <c r="B143" s="116" t="s">
        <v>271</v>
      </c>
      <c r="C143" s="125">
        <f>SUM(C139:C141)</f>
        <v>0</v>
      </c>
      <c r="D143" s="125">
        <f>SUM(D139:D141)</f>
        <v>0</v>
      </c>
      <c r="E143" s="125">
        <f>SUM(E139:E141)</f>
        <v>0</v>
      </c>
      <c r="F143" s="116" t="s">
        <v>293</v>
      </c>
    </row>
    <row r="144" spans="1:6" hidden="1">
      <c r="B144" s="80"/>
      <c r="C144" s="80"/>
      <c r="D144" s="80"/>
      <c r="E144" s="80"/>
      <c r="F144" s="80"/>
    </row>
    <row r="145" spans="1:6" hidden="1"/>
    <row r="146" spans="1:6" hidden="1">
      <c r="A146" s="127" t="s">
        <v>294</v>
      </c>
      <c r="B146" s="128"/>
      <c r="C146" s="128" t="s">
        <v>284</v>
      </c>
      <c r="D146" s="128" t="s">
        <v>285</v>
      </c>
      <c r="E146" s="128" t="s">
        <v>51</v>
      </c>
      <c r="F146" s="128" t="s">
        <v>286</v>
      </c>
    </row>
    <row r="147" spans="1:6" hidden="1">
      <c r="A147" s="129"/>
      <c r="B147" s="128" t="s">
        <v>62</v>
      </c>
      <c r="C147" s="128" t="s">
        <v>288</v>
      </c>
      <c r="D147" s="128" t="s">
        <v>288</v>
      </c>
      <c r="E147" s="128" t="s">
        <v>288</v>
      </c>
      <c r="F147" s="128" t="s">
        <v>289</v>
      </c>
    </row>
    <row r="148" spans="1:6" hidden="1">
      <c r="A148" s="129"/>
      <c r="B148" s="128"/>
      <c r="C148" s="128"/>
      <c r="D148" s="128"/>
      <c r="E148" s="128"/>
      <c r="F148" s="128"/>
    </row>
    <row r="149" spans="1:6" hidden="1">
      <c r="A149" s="128">
        <f>Premiums!$B$7</f>
        <v>19.3</v>
      </c>
      <c r="B149" s="128"/>
      <c r="C149" s="130">
        <f t="shared" ref="C149:E151" si="10">C95+C139</f>
        <v>0</v>
      </c>
      <c r="D149" s="130">
        <f t="shared" si="10"/>
        <v>0</v>
      </c>
      <c r="E149" s="130">
        <f t="shared" si="10"/>
        <v>0</v>
      </c>
      <c r="F149" s="128" t="s">
        <v>293</v>
      </c>
    </row>
    <row r="150" spans="1:6" hidden="1">
      <c r="A150" s="128">
        <f>Premiums!$C$7</f>
        <v>19.399999999999999</v>
      </c>
      <c r="B150" s="128"/>
      <c r="C150" s="130">
        <f t="shared" si="10"/>
        <v>0</v>
      </c>
      <c r="D150" s="130">
        <f t="shared" si="10"/>
        <v>0</v>
      </c>
      <c r="E150" s="130">
        <f t="shared" si="10"/>
        <v>0</v>
      </c>
      <c r="F150" s="128" t="s">
        <v>293</v>
      </c>
    </row>
    <row r="151" spans="1:6" hidden="1">
      <c r="A151" s="128">
        <f>Premiums!$D$7</f>
        <v>21.2</v>
      </c>
      <c r="B151" s="128"/>
      <c r="C151" s="130">
        <f t="shared" si="10"/>
        <v>0</v>
      </c>
      <c r="D151" s="130">
        <f t="shared" si="10"/>
        <v>0</v>
      </c>
      <c r="E151" s="130">
        <f t="shared" si="10"/>
        <v>0</v>
      </c>
      <c r="F151" s="128" t="s">
        <v>293</v>
      </c>
    </row>
    <row r="152" spans="1:6" hidden="1">
      <c r="A152" s="128"/>
      <c r="B152" s="129"/>
      <c r="C152" s="130"/>
      <c r="D152" s="130"/>
      <c r="E152" s="130"/>
      <c r="F152" s="128"/>
    </row>
    <row r="153" spans="1:6" hidden="1">
      <c r="A153" s="129"/>
      <c r="B153" s="128" t="s">
        <v>271</v>
      </c>
      <c r="C153" s="130">
        <f>SUM(C149:C151)</f>
        <v>0</v>
      </c>
      <c r="D153" s="130">
        <f>SUM(D149:D151)</f>
        <v>0</v>
      </c>
      <c r="E153" s="130">
        <f>SUM(E149:E151)</f>
        <v>0</v>
      </c>
      <c r="F153" s="128" t="s">
        <v>293</v>
      </c>
    </row>
    <row r="154" spans="1:6" hidden="1"/>
    <row r="155" spans="1:6" hidden="1"/>
    <row r="156" spans="1:6" hidden="1"/>
    <row r="157" spans="1:6" hidden="1"/>
  </sheetData>
  <printOptions gridLines="1"/>
  <pageMargins left="0.5" right="0.5" top="0.5" bottom="0.25" header="0.5" footer="0.25"/>
  <pageSetup scale="79" orientation="portrait" blackAndWhite="1" r:id="rId1"/>
  <headerFooter alignWithMargins="0">
    <oddFooter>&amp;LM:\ACCT\EDROBERT\MGA-FORMAT.XLS&amp;R&amp;D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F126"/>
  <sheetViews>
    <sheetView zoomScale="75" zoomScaleNormal="75" workbookViewId="0">
      <selection activeCell="A5" sqref="A5"/>
    </sheetView>
  </sheetViews>
  <sheetFormatPr defaultRowHeight="12.75"/>
  <cols>
    <col min="1" max="1" width="17.28515625" style="78" customWidth="1"/>
    <col min="2" max="2" width="29.85546875" style="78" customWidth="1"/>
    <col min="3" max="3" width="14.5703125" style="78" customWidth="1"/>
    <col min="4" max="4" width="19.42578125" style="78" customWidth="1"/>
    <col min="5" max="5" width="20" style="78" customWidth="1"/>
    <col min="6" max="6" width="21.7109375" style="78" customWidth="1"/>
    <col min="7" max="256" width="9.140625" style="78"/>
    <col min="257" max="257" width="17.28515625" style="78" customWidth="1"/>
    <col min="258" max="258" width="29.85546875" style="78" customWidth="1"/>
    <col min="259" max="259" width="14.5703125" style="78" customWidth="1"/>
    <col min="260" max="260" width="19.42578125" style="78" customWidth="1"/>
    <col min="261" max="261" width="20" style="78" customWidth="1"/>
    <col min="262" max="262" width="21.7109375" style="78" customWidth="1"/>
    <col min="263" max="512" width="9.140625" style="78"/>
    <col min="513" max="513" width="17.28515625" style="78" customWidth="1"/>
    <col min="514" max="514" width="29.85546875" style="78" customWidth="1"/>
    <col min="515" max="515" width="14.5703125" style="78" customWidth="1"/>
    <col min="516" max="516" width="19.42578125" style="78" customWidth="1"/>
    <col min="517" max="517" width="20" style="78" customWidth="1"/>
    <col min="518" max="518" width="21.7109375" style="78" customWidth="1"/>
    <col min="519" max="768" width="9.140625" style="78"/>
    <col min="769" max="769" width="17.28515625" style="78" customWidth="1"/>
    <col min="770" max="770" width="29.85546875" style="78" customWidth="1"/>
    <col min="771" max="771" width="14.5703125" style="78" customWidth="1"/>
    <col min="772" max="772" width="19.42578125" style="78" customWidth="1"/>
    <col min="773" max="773" width="20" style="78" customWidth="1"/>
    <col min="774" max="774" width="21.7109375" style="78" customWidth="1"/>
    <col min="775" max="1024" width="9.140625" style="78"/>
    <col min="1025" max="1025" width="17.28515625" style="78" customWidth="1"/>
    <col min="1026" max="1026" width="29.85546875" style="78" customWidth="1"/>
    <col min="1027" max="1027" width="14.5703125" style="78" customWidth="1"/>
    <col min="1028" max="1028" width="19.42578125" style="78" customWidth="1"/>
    <col min="1029" max="1029" width="20" style="78" customWidth="1"/>
    <col min="1030" max="1030" width="21.7109375" style="78" customWidth="1"/>
    <col min="1031" max="1280" width="9.140625" style="78"/>
    <col min="1281" max="1281" width="17.28515625" style="78" customWidth="1"/>
    <col min="1282" max="1282" width="29.85546875" style="78" customWidth="1"/>
    <col min="1283" max="1283" width="14.5703125" style="78" customWidth="1"/>
    <col min="1284" max="1284" width="19.42578125" style="78" customWidth="1"/>
    <col min="1285" max="1285" width="20" style="78" customWidth="1"/>
    <col min="1286" max="1286" width="21.7109375" style="78" customWidth="1"/>
    <col min="1287" max="1536" width="9.140625" style="78"/>
    <col min="1537" max="1537" width="17.28515625" style="78" customWidth="1"/>
    <col min="1538" max="1538" width="29.85546875" style="78" customWidth="1"/>
    <col min="1539" max="1539" width="14.5703125" style="78" customWidth="1"/>
    <col min="1540" max="1540" width="19.42578125" style="78" customWidth="1"/>
    <col min="1541" max="1541" width="20" style="78" customWidth="1"/>
    <col min="1542" max="1542" width="21.7109375" style="78" customWidth="1"/>
    <col min="1543" max="1792" width="9.140625" style="78"/>
    <col min="1793" max="1793" width="17.28515625" style="78" customWidth="1"/>
    <col min="1794" max="1794" width="29.85546875" style="78" customWidth="1"/>
    <col min="1795" max="1795" width="14.5703125" style="78" customWidth="1"/>
    <col min="1796" max="1796" width="19.42578125" style="78" customWidth="1"/>
    <col min="1797" max="1797" width="20" style="78" customWidth="1"/>
    <col min="1798" max="1798" width="21.7109375" style="78" customWidth="1"/>
    <col min="1799" max="2048" width="9.140625" style="78"/>
    <col min="2049" max="2049" width="17.28515625" style="78" customWidth="1"/>
    <col min="2050" max="2050" width="29.85546875" style="78" customWidth="1"/>
    <col min="2051" max="2051" width="14.5703125" style="78" customWidth="1"/>
    <col min="2052" max="2052" width="19.42578125" style="78" customWidth="1"/>
    <col min="2053" max="2053" width="20" style="78" customWidth="1"/>
    <col min="2054" max="2054" width="21.7109375" style="78" customWidth="1"/>
    <col min="2055" max="2304" width="9.140625" style="78"/>
    <col min="2305" max="2305" width="17.28515625" style="78" customWidth="1"/>
    <col min="2306" max="2306" width="29.85546875" style="78" customWidth="1"/>
    <col min="2307" max="2307" width="14.5703125" style="78" customWidth="1"/>
    <col min="2308" max="2308" width="19.42578125" style="78" customWidth="1"/>
    <col min="2309" max="2309" width="20" style="78" customWidth="1"/>
    <col min="2310" max="2310" width="21.7109375" style="78" customWidth="1"/>
    <col min="2311" max="2560" width="9.140625" style="78"/>
    <col min="2561" max="2561" width="17.28515625" style="78" customWidth="1"/>
    <col min="2562" max="2562" width="29.85546875" style="78" customWidth="1"/>
    <col min="2563" max="2563" width="14.5703125" style="78" customWidth="1"/>
    <col min="2564" max="2564" width="19.42578125" style="78" customWidth="1"/>
    <col min="2565" max="2565" width="20" style="78" customWidth="1"/>
    <col min="2566" max="2566" width="21.7109375" style="78" customWidth="1"/>
    <col min="2567" max="2816" width="9.140625" style="78"/>
    <col min="2817" max="2817" width="17.28515625" style="78" customWidth="1"/>
    <col min="2818" max="2818" width="29.85546875" style="78" customWidth="1"/>
    <col min="2819" max="2819" width="14.5703125" style="78" customWidth="1"/>
    <col min="2820" max="2820" width="19.42578125" style="78" customWidth="1"/>
    <col min="2821" max="2821" width="20" style="78" customWidth="1"/>
    <col min="2822" max="2822" width="21.7109375" style="78" customWidth="1"/>
    <col min="2823" max="3072" width="9.140625" style="78"/>
    <col min="3073" max="3073" width="17.28515625" style="78" customWidth="1"/>
    <col min="3074" max="3074" width="29.85546875" style="78" customWidth="1"/>
    <col min="3075" max="3075" width="14.5703125" style="78" customWidth="1"/>
    <col min="3076" max="3076" width="19.42578125" style="78" customWidth="1"/>
    <col min="3077" max="3077" width="20" style="78" customWidth="1"/>
    <col min="3078" max="3078" width="21.7109375" style="78" customWidth="1"/>
    <col min="3079" max="3328" width="9.140625" style="78"/>
    <col min="3329" max="3329" width="17.28515625" style="78" customWidth="1"/>
    <col min="3330" max="3330" width="29.85546875" style="78" customWidth="1"/>
    <col min="3331" max="3331" width="14.5703125" style="78" customWidth="1"/>
    <col min="3332" max="3332" width="19.42578125" style="78" customWidth="1"/>
    <col min="3333" max="3333" width="20" style="78" customWidth="1"/>
    <col min="3334" max="3334" width="21.7109375" style="78" customWidth="1"/>
    <col min="3335" max="3584" width="9.140625" style="78"/>
    <col min="3585" max="3585" width="17.28515625" style="78" customWidth="1"/>
    <col min="3586" max="3586" width="29.85546875" style="78" customWidth="1"/>
    <col min="3587" max="3587" width="14.5703125" style="78" customWidth="1"/>
    <col min="3588" max="3588" width="19.42578125" style="78" customWidth="1"/>
    <col min="3589" max="3589" width="20" style="78" customWidth="1"/>
    <col min="3590" max="3590" width="21.7109375" style="78" customWidth="1"/>
    <col min="3591" max="3840" width="9.140625" style="78"/>
    <col min="3841" max="3841" width="17.28515625" style="78" customWidth="1"/>
    <col min="3842" max="3842" width="29.85546875" style="78" customWidth="1"/>
    <col min="3843" max="3843" width="14.5703125" style="78" customWidth="1"/>
    <col min="3844" max="3844" width="19.42578125" style="78" customWidth="1"/>
    <col min="3845" max="3845" width="20" style="78" customWidth="1"/>
    <col min="3846" max="3846" width="21.7109375" style="78" customWidth="1"/>
    <col min="3847" max="4096" width="9.140625" style="78"/>
    <col min="4097" max="4097" width="17.28515625" style="78" customWidth="1"/>
    <col min="4098" max="4098" width="29.85546875" style="78" customWidth="1"/>
    <col min="4099" max="4099" width="14.5703125" style="78" customWidth="1"/>
    <col min="4100" max="4100" width="19.42578125" style="78" customWidth="1"/>
    <col min="4101" max="4101" width="20" style="78" customWidth="1"/>
    <col min="4102" max="4102" width="21.7109375" style="78" customWidth="1"/>
    <col min="4103" max="4352" width="9.140625" style="78"/>
    <col min="4353" max="4353" width="17.28515625" style="78" customWidth="1"/>
    <col min="4354" max="4354" width="29.85546875" style="78" customWidth="1"/>
    <col min="4355" max="4355" width="14.5703125" style="78" customWidth="1"/>
    <col min="4356" max="4356" width="19.42578125" style="78" customWidth="1"/>
    <col min="4357" max="4357" width="20" style="78" customWidth="1"/>
    <col min="4358" max="4358" width="21.7109375" style="78" customWidth="1"/>
    <col min="4359" max="4608" width="9.140625" style="78"/>
    <col min="4609" max="4609" width="17.28515625" style="78" customWidth="1"/>
    <col min="4610" max="4610" width="29.85546875" style="78" customWidth="1"/>
    <col min="4611" max="4611" width="14.5703125" style="78" customWidth="1"/>
    <col min="4612" max="4612" width="19.42578125" style="78" customWidth="1"/>
    <col min="4613" max="4613" width="20" style="78" customWidth="1"/>
    <col min="4614" max="4614" width="21.7109375" style="78" customWidth="1"/>
    <col min="4615" max="4864" width="9.140625" style="78"/>
    <col min="4865" max="4865" width="17.28515625" style="78" customWidth="1"/>
    <col min="4866" max="4866" width="29.85546875" style="78" customWidth="1"/>
    <col min="4867" max="4867" width="14.5703125" style="78" customWidth="1"/>
    <col min="4868" max="4868" width="19.42578125" style="78" customWidth="1"/>
    <col min="4869" max="4869" width="20" style="78" customWidth="1"/>
    <col min="4870" max="4870" width="21.7109375" style="78" customWidth="1"/>
    <col min="4871" max="5120" width="9.140625" style="78"/>
    <col min="5121" max="5121" width="17.28515625" style="78" customWidth="1"/>
    <col min="5122" max="5122" width="29.85546875" style="78" customWidth="1"/>
    <col min="5123" max="5123" width="14.5703125" style="78" customWidth="1"/>
    <col min="5124" max="5124" width="19.42578125" style="78" customWidth="1"/>
    <col min="5125" max="5125" width="20" style="78" customWidth="1"/>
    <col min="5126" max="5126" width="21.7109375" style="78" customWidth="1"/>
    <col min="5127" max="5376" width="9.140625" style="78"/>
    <col min="5377" max="5377" width="17.28515625" style="78" customWidth="1"/>
    <col min="5378" max="5378" width="29.85546875" style="78" customWidth="1"/>
    <col min="5379" max="5379" width="14.5703125" style="78" customWidth="1"/>
    <col min="5380" max="5380" width="19.42578125" style="78" customWidth="1"/>
    <col min="5381" max="5381" width="20" style="78" customWidth="1"/>
    <col min="5382" max="5382" width="21.7109375" style="78" customWidth="1"/>
    <col min="5383" max="5632" width="9.140625" style="78"/>
    <col min="5633" max="5633" width="17.28515625" style="78" customWidth="1"/>
    <col min="5634" max="5634" width="29.85546875" style="78" customWidth="1"/>
    <col min="5635" max="5635" width="14.5703125" style="78" customWidth="1"/>
    <col min="5636" max="5636" width="19.42578125" style="78" customWidth="1"/>
    <col min="5637" max="5637" width="20" style="78" customWidth="1"/>
    <col min="5638" max="5638" width="21.7109375" style="78" customWidth="1"/>
    <col min="5639" max="5888" width="9.140625" style="78"/>
    <col min="5889" max="5889" width="17.28515625" style="78" customWidth="1"/>
    <col min="5890" max="5890" width="29.85546875" style="78" customWidth="1"/>
    <col min="5891" max="5891" width="14.5703125" style="78" customWidth="1"/>
    <col min="5892" max="5892" width="19.42578125" style="78" customWidth="1"/>
    <col min="5893" max="5893" width="20" style="78" customWidth="1"/>
    <col min="5894" max="5894" width="21.7109375" style="78" customWidth="1"/>
    <col min="5895" max="6144" width="9.140625" style="78"/>
    <col min="6145" max="6145" width="17.28515625" style="78" customWidth="1"/>
    <col min="6146" max="6146" width="29.85546875" style="78" customWidth="1"/>
    <col min="6147" max="6147" width="14.5703125" style="78" customWidth="1"/>
    <col min="6148" max="6148" width="19.42578125" style="78" customWidth="1"/>
    <col min="6149" max="6149" width="20" style="78" customWidth="1"/>
    <col min="6150" max="6150" width="21.7109375" style="78" customWidth="1"/>
    <col min="6151" max="6400" width="9.140625" style="78"/>
    <col min="6401" max="6401" width="17.28515625" style="78" customWidth="1"/>
    <col min="6402" max="6402" width="29.85546875" style="78" customWidth="1"/>
    <col min="6403" max="6403" width="14.5703125" style="78" customWidth="1"/>
    <col min="6404" max="6404" width="19.42578125" style="78" customWidth="1"/>
    <col min="6405" max="6405" width="20" style="78" customWidth="1"/>
    <col min="6406" max="6406" width="21.7109375" style="78" customWidth="1"/>
    <col min="6407" max="6656" width="9.140625" style="78"/>
    <col min="6657" max="6657" width="17.28515625" style="78" customWidth="1"/>
    <col min="6658" max="6658" width="29.85546875" style="78" customWidth="1"/>
    <col min="6659" max="6659" width="14.5703125" style="78" customWidth="1"/>
    <col min="6660" max="6660" width="19.42578125" style="78" customWidth="1"/>
    <col min="6661" max="6661" width="20" style="78" customWidth="1"/>
    <col min="6662" max="6662" width="21.7109375" style="78" customWidth="1"/>
    <col min="6663" max="6912" width="9.140625" style="78"/>
    <col min="6913" max="6913" width="17.28515625" style="78" customWidth="1"/>
    <col min="6914" max="6914" width="29.85546875" style="78" customWidth="1"/>
    <col min="6915" max="6915" width="14.5703125" style="78" customWidth="1"/>
    <col min="6916" max="6916" width="19.42578125" style="78" customWidth="1"/>
    <col min="6917" max="6917" width="20" style="78" customWidth="1"/>
    <col min="6918" max="6918" width="21.7109375" style="78" customWidth="1"/>
    <col min="6919" max="7168" width="9.140625" style="78"/>
    <col min="7169" max="7169" width="17.28515625" style="78" customWidth="1"/>
    <col min="7170" max="7170" width="29.85546875" style="78" customWidth="1"/>
    <col min="7171" max="7171" width="14.5703125" style="78" customWidth="1"/>
    <col min="7172" max="7172" width="19.42578125" style="78" customWidth="1"/>
    <col min="7173" max="7173" width="20" style="78" customWidth="1"/>
    <col min="7174" max="7174" width="21.7109375" style="78" customWidth="1"/>
    <col min="7175" max="7424" width="9.140625" style="78"/>
    <col min="7425" max="7425" width="17.28515625" style="78" customWidth="1"/>
    <col min="7426" max="7426" width="29.85546875" style="78" customWidth="1"/>
    <col min="7427" max="7427" width="14.5703125" style="78" customWidth="1"/>
    <col min="7428" max="7428" width="19.42578125" style="78" customWidth="1"/>
    <col min="7429" max="7429" width="20" style="78" customWidth="1"/>
    <col min="7430" max="7430" width="21.7109375" style="78" customWidth="1"/>
    <col min="7431" max="7680" width="9.140625" style="78"/>
    <col min="7681" max="7681" width="17.28515625" style="78" customWidth="1"/>
    <col min="7682" max="7682" width="29.85546875" style="78" customWidth="1"/>
    <col min="7683" max="7683" width="14.5703125" style="78" customWidth="1"/>
    <col min="7684" max="7684" width="19.42578125" style="78" customWidth="1"/>
    <col min="7685" max="7685" width="20" style="78" customWidth="1"/>
    <col min="7686" max="7686" width="21.7109375" style="78" customWidth="1"/>
    <col min="7687" max="7936" width="9.140625" style="78"/>
    <col min="7937" max="7937" width="17.28515625" style="78" customWidth="1"/>
    <col min="7938" max="7938" width="29.85546875" style="78" customWidth="1"/>
    <col min="7939" max="7939" width="14.5703125" style="78" customWidth="1"/>
    <col min="7940" max="7940" width="19.42578125" style="78" customWidth="1"/>
    <col min="7941" max="7941" width="20" style="78" customWidth="1"/>
    <col min="7942" max="7942" width="21.7109375" style="78" customWidth="1"/>
    <col min="7943" max="8192" width="9.140625" style="78"/>
    <col min="8193" max="8193" width="17.28515625" style="78" customWidth="1"/>
    <col min="8194" max="8194" width="29.85546875" style="78" customWidth="1"/>
    <col min="8195" max="8195" width="14.5703125" style="78" customWidth="1"/>
    <col min="8196" max="8196" width="19.42578125" style="78" customWidth="1"/>
    <col min="8197" max="8197" width="20" style="78" customWidth="1"/>
    <col min="8198" max="8198" width="21.7109375" style="78" customWidth="1"/>
    <col min="8199" max="8448" width="9.140625" style="78"/>
    <col min="8449" max="8449" width="17.28515625" style="78" customWidth="1"/>
    <col min="8450" max="8450" width="29.85546875" style="78" customWidth="1"/>
    <col min="8451" max="8451" width="14.5703125" style="78" customWidth="1"/>
    <col min="8452" max="8452" width="19.42578125" style="78" customWidth="1"/>
    <col min="8453" max="8453" width="20" style="78" customWidth="1"/>
    <col min="8454" max="8454" width="21.7109375" style="78" customWidth="1"/>
    <col min="8455" max="8704" width="9.140625" style="78"/>
    <col min="8705" max="8705" width="17.28515625" style="78" customWidth="1"/>
    <col min="8706" max="8706" width="29.85546875" style="78" customWidth="1"/>
    <col min="8707" max="8707" width="14.5703125" style="78" customWidth="1"/>
    <col min="8708" max="8708" width="19.42578125" style="78" customWidth="1"/>
    <col min="8709" max="8709" width="20" style="78" customWidth="1"/>
    <col min="8710" max="8710" width="21.7109375" style="78" customWidth="1"/>
    <col min="8711" max="8960" width="9.140625" style="78"/>
    <col min="8961" max="8961" width="17.28515625" style="78" customWidth="1"/>
    <col min="8962" max="8962" width="29.85546875" style="78" customWidth="1"/>
    <col min="8963" max="8963" width="14.5703125" style="78" customWidth="1"/>
    <col min="8964" max="8964" width="19.42578125" style="78" customWidth="1"/>
    <col min="8965" max="8965" width="20" style="78" customWidth="1"/>
    <col min="8966" max="8966" width="21.7109375" style="78" customWidth="1"/>
    <col min="8967" max="9216" width="9.140625" style="78"/>
    <col min="9217" max="9217" width="17.28515625" style="78" customWidth="1"/>
    <col min="9218" max="9218" width="29.85546875" style="78" customWidth="1"/>
    <col min="9219" max="9219" width="14.5703125" style="78" customWidth="1"/>
    <col min="9220" max="9220" width="19.42578125" style="78" customWidth="1"/>
    <col min="9221" max="9221" width="20" style="78" customWidth="1"/>
    <col min="9222" max="9222" width="21.7109375" style="78" customWidth="1"/>
    <col min="9223" max="9472" width="9.140625" style="78"/>
    <col min="9473" max="9473" width="17.28515625" style="78" customWidth="1"/>
    <col min="9474" max="9474" width="29.85546875" style="78" customWidth="1"/>
    <col min="9475" max="9475" width="14.5703125" style="78" customWidth="1"/>
    <col min="9476" max="9476" width="19.42578125" style="78" customWidth="1"/>
    <col min="9477" max="9477" width="20" style="78" customWidth="1"/>
    <col min="9478" max="9478" width="21.7109375" style="78" customWidth="1"/>
    <col min="9479" max="9728" width="9.140625" style="78"/>
    <col min="9729" max="9729" width="17.28515625" style="78" customWidth="1"/>
    <col min="9730" max="9730" width="29.85546875" style="78" customWidth="1"/>
    <col min="9731" max="9731" width="14.5703125" style="78" customWidth="1"/>
    <col min="9732" max="9732" width="19.42578125" style="78" customWidth="1"/>
    <col min="9733" max="9733" width="20" style="78" customWidth="1"/>
    <col min="9734" max="9734" width="21.7109375" style="78" customWidth="1"/>
    <col min="9735" max="9984" width="9.140625" style="78"/>
    <col min="9985" max="9985" width="17.28515625" style="78" customWidth="1"/>
    <col min="9986" max="9986" width="29.85546875" style="78" customWidth="1"/>
    <col min="9987" max="9987" width="14.5703125" style="78" customWidth="1"/>
    <col min="9988" max="9988" width="19.42578125" style="78" customWidth="1"/>
    <col min="9989" max="9989" width="20" style="78" customWidth="1"/>
    <col min="9990" max="9990" width="21.7109375" style="78" customWidth="1"/>
    <col min="9991" max="10240" width="9.140625" style="78"/>
    <col min="10241" max="10241" width="17.28515625" style="78" customWidth="1"/>
    <col min="10242" max="10242" width="29.85546875" style="78" customWidth="1"/>
    <col min="10243" max="10243" width="14.5703125" style="78" customWidth="1"/>
    <col min="10244" max="10244" width="19.42578125" style="78" customWidth="1"/>
    <col min="10245" max="10245" width="20" style="78" customWidth="1"/>
    <col min="10246" max="10246" width="21.7109375" style="78" customWidth="1"/>
    <col min="10247" max="10496" width="9.140625" style="78"/>
    <col min="10497" max="10497" width="17.28515625" style="78" customWidth="1"/>
    <col min="10498" max="10498" width="29.85546875" style="78" customWidth="1"/>
    <col min="10499" max="10499" width="14.5703125" style="78" customWidth="1"/>
    <col min="10500" max="10500" width="19.42578125" style="78" customWidth="1"/>
    <col min="10501" max="10501" width="20" style="78" customWidth="1"/>
    <col min="10502" max="10502" width="21.7109375" style="78" customWidth="1"/>
    <col min="10503" max="10752" width="9.140625" style="78"/>
    <col min="10753" max="10753" width="17.28515625" style="78" customWidth="1"/>
    <col min="10754" max="10754" width="29.85546875" style="78" customWidth="1"/>
    <col min="10755" max="10755" width="14.5703125" style="78" customWidth="1"/>
    <col min="10756" max="10756" width="19.42578125" style="78" customWidth="1"/>
    <col min="10757" max="10757" width="20" style="78" customWidth="1"/>
    <col min="10758" max="10758" width="21.7109375" style="78" customWidth="1"/>
    <col min="10759" max="11008" width="9.140625" style="78"/>
    <col min="11009" max="11009" width="17.28515625" style="78" customWidth="1"/>
    <col min="11010" max="11010" width="29.85546875" style="78" customWidth="1"/>
    <col min="11011" max="11011" width="14.5703125" style="78" customWidth="1"/>
    <col min="11012" max="11012" width="19.42578125" style="78" customWidth="1"/>
    <col min="11013" max="11013" width="20" style="78" customWidth="1"/>
    <col min="11014" max="11014" width="21.7109375" style="78" customWidth="1"/>
    <col min="11015" max="11264" width="9.140625" style="78"/>
    <col min="11265" max="11265" width="17.28515625" style="78" customWidth="1"/>
    <col min="11266" max="11266" width="29.85546875" style="78" customWidth="1"/>
    <col min="11267" max="11267" width="14.5703125" style="78" customWidth="1"/>
    <col min="11268" max="11268" width="19.42578125" style="78" customWidth="1"/>
    <col min="11269" max="11269" width="20" style="78" customWidth="1"/>
    <col min="11270" max="11270" width="21.7109375" style="78" customWidth="1"/>
    <col min="11271" max="11520" width="9.140625" style="78"/>
    <col min="11521" max="11521" width="17.28515625" style="78" customWidth="1"/>
    <col min="11522" max="11522" width="29.85546875" style="78" customWidth="1"/>
    <col min="11523" max="11523" width="14.5703125" style="78" customWidth="1"/>
    <col min="11524" max="11524" width="19.42578125" style="78" customWidth="1"/>
    <col min="11525" max="11525" width="20" style="78" customWidth="1"/>
    <col min="11526" max="11526" width="21.7109375" style="78" customWidth="1"/>
    <col min="11527" max="11776" width="9.140625" style="78"/>
    <col min="11777" max="11777" width="17.28515625" style="78" customWidth="1"/>
    <col min="11778" max="11778" width="29.85546875" style="78" customWidth="1"/>
    <col min="11779" max="11779" width="14.5703125" style="78" customWidth="1"/>
    <col min="11780" max="11780" width="19.42578125" style="78" customWidth="1"/>
    <col min="11781" max="11781" width="20" style="78" customWidth="1"/>
    <col min="11782" max="11782" width="21.7109375" style="78" customWidth="1"/>
    <col min="11783" max="12032" width="9.140625" style="78"/>
    <col min="12033" max="12033" width="17.28515625" style="78" customWidth="1"/>
    <col min="12034" max="12034" width="29.85546875" style="78" customWidth="1"/>
    <col min="12035" max="12035" width="14.5703125" style="78" customWidth="1"/>
    <col min="12036" max="12036" width="19.42578125" style="78" customWidth="1"/>
    <col min="12037" max="12037" width="20" style="78" customWidth="1"/>
    <col min="12038" max="12038" width="21.7109375" style="78" customWidth="1"/>
    <col min="12039" max="12288" width="9.140625" style="78"/>
    <col min="12289" max="12289" width="17.28515625" style="78" customWidth="1"/>
    <col min="12290" max="12290" width="29.85546875" style="78" customWidth="1"/>
    <col min="12291" max="12291" width="14.5703125" style="78" customWidth="1"/>
    <col min="12292" max="12292" width="19.42578125" style="78" customWidth="1"/>
    <col min="12293" max="12293" width="20" style="78" customWidth="1"/>
    <col min="12294" max="12294" width="21.7109375" style="78" customWidth="1"/>
    <col min="12295" max="12544" width="9.140625" style="78"/>
    <col min="12545" max="12545" width="17.28515625" style="78" customWidth="1"/>
    <col min="12546" max="12546" width="29.85546875" style="78" customWidth="1"/>
    <col min="12547" max="12547" width="14.5703125" style="78" customWidth="1"/>
    <col min="12548" max="12548" width="19.42578125" style="78" customWidth="1"/>
    <col min="12549" max="12549" width="20" style="78" customWidth="1"/>
    <col min="12550" max="12550" width="21.7109375" style="78" customWidth="1"/>
    <col min="12551" max="12800" width="9.140625" style="78"/>
    <col min="12801" max="12801" width="17.28515625" style="78" customWidth="1"/>
    <col min="12802" max="12802" width="29.85546875" style="78" customWidth="1"/>
    <col min="12803" max="12803" width="14.5703125" style="78" customWidth="1"/>
    <col min="12804" max="12804" width="19.42578125" style="78" customWidth="1"/>
    <col min="12805" max="12805" width="20" style="78" customWidth="1"/>
    <col min="12806" max="12806" width="21.7109375" style="78" customWidth="1"/>
    <col min="12807" max="13056" width="9.140625" style="78"/>
    <col min="13057" max="13057" width="17.28515625" style="78" customWidth="1"/>
    <col min="13058" max="13058" width="29.85546875" style="78" customWidth="1"/>
    <col min="13059" max="13059" width="14.5703125" style="78" customWidth="1"/>
    <col min="13060" max="13060" width="19.42578125" style="78" customWidth="1"/>
    <col min="13061" max="13061" width="20" style="78" customWidth="1"/>
    <col min="13062" max="13062" width="21.7109375" style="78" customWidth="1"/>
    <col min="13063" max="13312" width="9.140625" style="78"/>
    <col min="13313" max="13313" width="17.28515625" style="78" customWidth="1"/>
    <col min="13314" max="13314" width="29.85546875" style="78" customWidth="1"/>
    <col min="13315" max="13315" width="14.5703125" style="78" customWidth="1"/>
    <col min="13316" max="13316" width="19.42578125" style="78" customWidth="1"/>
    <col min="13317" max="13317" width="20" style="78" customWidth="1"/>
    <col min="13318" max="13318" width="21.7109375" style="78" customWidth="1"/>
    <col min="13319" max="13568" width="9.140625" style="78"/>
    <col min="13569" max="13569" width="17.28515625" style="78" customWidth="1"/>
    <col min="13570" max="13570" width="29.85546875" style="78" customWidth="1"/>
    <col min="13571" max="13571" width="14.5703125" style="78" customWidth="1"/>
    <col min="13572" max="13572" width="19.42578125" style="78" customWidth="1"/>
    <col min="13573" max="13573" width="20" style="78" customWidth="1"/>
    <col min="13574" max="13574" width="21.7109375" style="78" customWidth="1"/>
    <col min="13575" max="13824" width="9.140625" style="78"/>
    <col min="13825" max="13825" width="17.28515625" style="78" customWidth="1"/>
    <col min="13826" max="13826" width="29.85546875" style="78" customWidth="1"/>
    <col min="13827" max="13827" width="14.5703125" style="78" customWidth="1"/>
    <col min="13828" max="13828" width="19.42578125" style="78" customWidth="1"/>
    <col min="13829" max="13829" width="20" style="78" customWidth="1"/>
    <col min="13830" max="13830" width="21.7109375" style="78" customWidth="1"/>
    <col min="13831" max="14080" width="9.140625" style="78"/>
    <col min="14081" max="14081" width="17.28515625" style="78" customWidth="1"/>
    <col min="14082" max="14082" width="29.85546875" style="78" customWidth="1"/>
    <col min="14083" max="14083" width="14.5703125" style="78" customWidth="1"/>
    <col min="14084" max="14084" width="19.42578125" style="78" customWidth="1"/>
    <col min="14085" max="14085" width="20" style="78" customWidth="1"/>
    <col min="14086" max="14086" width="21.7109375" style="78" customWidth="1"/>
    <col min="14087" max="14336" width="9.140625" style="78"/>
    <col min="14337" max="14337" width="17.28515625" style="78" customWidth="1"/>
    <col min="14338" max="14338" width="29.85546875" style="78" customWidth="1"/>
    <col min="14339" max="14339" width="14.5703125" style="78" customWidth="1"/>
    <col min="14340" max="14340" width="19.42578125" style="78" customWidth="1"/>
    <col min="14341" max="14341" width="20" style="78" customWidth="1"/>
    <col min="14342" max="14342" width="21.7109375" style="78" customWidth="1"/>
    <col min="14343" max="14592" width="9.140625" style="78"/>
    <col min="14593" max="14593" width="17.28515625" style="78" customWidth="1"/>
    <col min="14594" max="14594" width="29.85546875" style="78" customWidth="1"/>
    <col min="14595" max="14595" width="14.5703125" style="78" customWidth="1"/>
    <col min="14596" max="14596" width="19.42578125" style="78" customWidth="1"/>
    <col min="14597" max="14597" width="20" style="78" customWidth="1"/>
    <col min="14598" max="14598" width="21.7109375" style="78" customWidth="1"/>
    <col min="14599" max="14848" width="9.140625" style="78"/>
    <col min="14849" max="14849" width="17.28515625" style="78" customWidth="1"/>
    <col min="14850" max="14850" width="29.85546875" style="78" customWidth="1"/>
    <col min="14851" max="14851" width="14.5703125" style="78" customWidth="1"/>
    <col min="14852" max="14852" width="19.42578125" style="78" customWidth="1"/>
    <col min="14853" max="14853" width="20" style="78" customWidth="1"/>
    <col min="14854" max="14854" width="21.7109375" style="78" customWidth="1"/>
    <col min="14855" max="15104" width="9.140625" style="78"/>
    <col min="15105" max="15105" width="17.28515625" style="78" customWidth="1"/>
    <col min="15106" max="15106" width="29.85546875" style="78" customWidth="1"/>
    <col min="15107" max="15107" width="14.5703125" style="78" customWidth="1"/>
    <col min="15108" max="15108" width="19.42578125" style="78" customWidth="1"/>
    <col min="15109" max="15109" width="20" style="78" customWidth="1"/>
    <col min="15110" max="15110" width="21.7109375" style="78" customWidth="1"/>
    <col min="15111" max="15360" width="9.140625" style="78"/>
    <col min="15361" max="15361" width="17.28515625" style="78" customWidth="1"/>
    <col min="15362" max="15362" width="29.85546875" style="78" customWidth="1"/>
    <col min="15363" max="15363" width="14.5703125" style="78" customWidth="1"/>
    <col min="15364" max="15364" width="19.42578125" style="78" customWidth="1"/>
    <col min="15365" max="15365" width="20" style="78" customWidth="1"/>
    <col min="15366" max="15366" width="21.7109375" style="78" customWidth="1"/>
    <col min="15367" max="15616" width="9.140625" style="78"/>
    <col min="15617" max="15617" width="17.28515625" style="78" customWidth="1"/>
    <col min="15618" max="15618" width="29.85546875" style="78" customWidth="1"/>
    <col min="15619" max="15619" width="14.5703125" style="78" customWidth="1"/>
    <col min="15620" max="15620" width="19.42578125" style="78" customWidth="1"/>
    <col min="15621" max="15621" width="20" style="78" customWidth="1"/>
    <col min="15622" max="15622" width="21.7109375" style="78" customWidth="1"/>
    <col min="15623" max="15872" width="9.140625" style="78"/>
    <col min="15873" max="15873" width="17.28515625" style="78" customWidth="1"/>
    <col min="15874" max="15874" width="29.85546875" style="78" customWidth="1"/>
    <col min="15875" max="15875" width="14.5703125" style="78" customWidth="1"/>
    <col min="15876" max="15876" width="19.42578125" style="78" customWidth="1"/>
    <col min="15877" max="15877" width="20" style="78" customWidth="1"/>
    <col min="15878" max="15878" width="21.7109375" style="78" customWidth="1"/>
    <col min="15879" max="16128" width="9.140625" style="78"/>
    <col min="16129" max="16129" width="17.28515625" style="78" customWidth="1"/>
    <col min="16130" max="16130" width="29.85546875" style="78" customWidth="1"/>
    <col min="16131" max="16131" width="14.5703125" style="78" customWidth="1"/>
    <col min="16132" max="16132" width="19.42578125" style="78" customWidth="1"/>
    <col min="16133" max="16133" width="20" style="78" customWidth="1"/>
    <col min="16134" max="16134" width="21.7109375" style="78" customWidth="1"/>
    <col min="16135" max="16384" width="9.140625" style="78"/>
  </cols>
  <sheetData>
    <row r="1" spans="1:6">
      <c r="A1" s="86" t="str">
        <f>'Paids --yr end'!A1</f>
        <v>NTA - 1/1/2013</v>
      </c>
    </row>
    <row r="2" spans="1:6">
      <c r="A2" s="86" t="s">
        <v>295</v>
      </c>
      <c r="C2" s="80">
        <f>'Paids --yr end'!C2</f>
        <v>2013</v>
      </c>
      <c r="E2" s="115" t="s">
        <v>156</v>
      </c>
    </row>
    <row r="3" spans="1:6">
      <c r="A3" s="86" t="str">
        <f>'Paids --yr end'!A3</f>
        <v>Line of Business (Annual Statement Lines)</v>
      </c>
    </row>
    <row r="4" spans="1:6">
      <c r="A4" s="86" t="str">
        <f>Premiums!A4</f>
        <v>STATE NATIONAL INSURANCE COMPANY</v>
      </c>
    </row>
    <row r="6" spans="1:6">
      <c r="A6" s="86" t="s">
        <v>282</v>
      </c>
      <c r="B6" s="86"/>
    </row>
    <row r="7" spans="1:6">
      <c r="B7" s="80"/>
      <c r="C7" s="80"/>
      <c r="D7" s="80"/>
      <c r="E7" s="80"/>
      <c r="F7" s="80"/>
    </row>
    <row r="8" spans="1:6" hidden="1">
      <c r="A8" s="86">
        <v>2018</v>
      </c>
      <c r="B8" s="80" t="s">
        <v>283</v>
      </c>
      <c r="C8" s="80" t="s">
        <v>296</v>
      </c>
      <c r="D8" s="80" t="s">
        <v>297</v>
      </c>
      <c r="E8" s="80" t="s">
        <v>298</v>
      </c>
      <c r="F8" s="80" t="s">
        <v>286</v>
      </c>
    </row>
    <row r="9" spans="1:6" hidden="1">
      <c r="B9" s="80" t="s">
        <v>287</v>
      </c>
      <c r="C9" s="80" t="s">
        <v>299</v>
      </c>
      <c r="D9" s="80" t="s">
        <v>299</v>
      </c>
      <c r="E9" s="80" t="s">
        <v>299</v>
      </c>
      <c r="F9" s="80" t="s">
        <v>300</v>
      </c>
    </row>
    <row r="10" spans="1:6" hidden="1">
      <c r="B10" s="80"/>
      <c r="C10" s="80"/>
      <c r="D10" s="80"/>
      <c r="E10" s="80"/>
      <c r="F10" s="80"/>
    </row>
    <row r="11" spans="1:6" hidden="1">
      <c r="A11" s="80">
        <f>Premiums!$B$7</f>
        <v>19.3</v>
      </c>
      <c r="B11" s="116">
        <f>A8</f>
        <v>2018</v>
      </c>
      <c r="C11" s="117">
        <v>0</v>
      </c>
      <c r="D11" s="117">
        <v>0</v>
      </c>
      <c r="E11" s="117">
        <v>0</v>
      </c>
      <c r="F11" s="117">
        <v>0</v>
      </c>
    </row>
    <row r="12" spans="1:6" hidden="1">
      <c r="A12" s="80">
        <f>Premiums!$C$7</f>
        <v>19.399999999999999</v>
      </c>
      <c r="B12" s="116">
        <f t="shared" ref="B12:B13" si="0">B11</f>
        <v>2018</v>
      </c>
      <c r="C12" s="117">
        <v>0</v>
      </c>
      <c r="D12" s="117">
        <v>0</v>
      </c>
      <c r="E12" s="117">
        <v>0</v>
      </c>
      <c r="F12" s="117">
        <v>0</v>
      </c>
    </row>
    <row r="13" spans="1:6" hidden="1">
      <c r="A13" s="80">
        <f>Premiums!$D$7</f>
        <v>21.2</v>
      </c>
      <c r="B13" s="116">
        <f t="shared" si="0"/>
        <v>2018</v>
      </c>
      <c r="C13" s="117">
        <v>0</v>
      </c>
      <c r="D13" s="117">
        <v>0</v>
      </c>
      <c r="E13" s="117">
        <v>0</v>
      </c>
      <c r="F13" s="117">
        <v>0</v>
      </c>
    </row>
    <row r="14" spans="1:6" hidden="1">
      <c r="A14" s="80"/>
      <c r="B14" s="80"/>
      <c r="C14" s="118"/>
      <c r="D14" s="118"/>
      <c r="E14" s="118"/>
      <c r="F14" s="118"/>
    </row>
    <row r="15" spans="1:6" hidden="1">
      <c r="A15" s="80"/>
      <c r="B15" s="80" t="s">
        <v>271</v>
      </c>
      <c r="C15" s="118">
        <f>SUM(C11:C13)</f>
        <v>0</v>
      </c>
      <c r="D15" s="118">
        <f>SUM(D11:D13)</f>
        <v>0</v>
      </c>
      <c r="E15" s="118">
        <f>SUM(E11:E13)</f>
        <v>0</v>
      </c>
      <c r="F15" s="118">
        <f>SUM(F11:F13)</f>
        <v>0</v>
      </c>
    </row>
    <row r="16" spans="1:6" hidden="1">
      <c r="B16" s="80"/>
      <c r="C16" s="80"/>
      <c r="D16" s="80"/>
      <c r="E16" s="80"/>
      <c r="F16" s="80"/>
    </row>
    <row r="17" spans="1:6" hidden="1">
      <c r="A17" s="86">
        <v>2017</v>
      </c>
      <c r="B17" s="80" t="s">
        <v>283</v>
      </c>
      <c r="C17" s="80" t="s">
        <v>296</v>
      </c>
      <c r="D17" s="80" t="s">
        <v>297</v>
      </c>
      <c r="E17" s="80" t="s">
        <v>298</v>
      </c>
      <c r="F17" s="80" t="s">
        <v>286</v>
      </c>
    </row>
    <row r="18" spans="1:6" hidden="1">
      <c r="B18" s="80" t="s">
        <v>287</v>
      </c>
      <c r="C18" s="80" t="s">
        <v>299</v>
      </c>
      <c r="D18" s="80" t="s">
        <v>299</v>
      </c>
      <c r="E18" s="80" t="s">
        <v>299</v>
      </c>
      <c r="F18" s="80" t="s">
        <v>300</v>
      </c>
    </row>
    <row r="19" spans="1:6" hidden="1">
      <c r="B19" s="80"/>
      <c r="C19" s="80"/>
      <c r="D19" s="80"/>
      <c r="E19" s="80"/>
      <c r="F19" s="80"/>
    </row>
    <row r="20" spans="1:6" hidden="1">
      <c r="A20" s="80">
        <f>Premiums!$B$7</f>
        <v>19.3</v>
      </c>
      <c r="B20" s="116">
        <f>A17</f>
        <v>2017</v>
      </c>
      <c r="C20" s="117">
        <v>0</v>
      </c>
      <c r="D20" s="117">
        <v>0</v>
      </c>
      <c r="E20" s="117">
        <v>0</v>
      </c>
      <c r="F20" s="117">
        <v>0</v>
      </c>
    </row>
    <row r="21" spans="1:6" hidden="1">
      <c r="A21" s="80">
        <f>Premiums!$C$7</f>
        <v>19.399999999999999</v>
      </c>
      <c r="B21" s="116">
        <f t="shared" ref="B21:B22" si="1">B20</f>
        <v>2017</v>
      </c>
      <c r="C21" s="117">
        <v>0</v>
      </c>
      <c r="D21" s="117">
        <v>0</v>
      </c>
      <c r="E21" s="117">
        <v>0</v>
      </c>
      <c r="F21" s="117">
        <v>0</v>
      </c>
    </row>
    <row r="22" spans="1:6" hidden="1">
      <c r="A22" s="80">
        <f>Premiums!$D$7</f>
        <v>21.2</v>
      </c>
      <c r="B22" s="116">
        <f t="shared" si="1"/>
        <v>2017</v>
      </c>
      <c r="C22" s="117">
        <v>0</v>
      </c>
      <c r="D22" s="117">
        <v>0</v>
      </c>
      <c r="E22" s="117">
        <v>0</v>
      </c>
      <c r="F22" s="117">
        <v>0</v>
      </c>
    </row>
    <row r="23" spans="1:6" hidden="1">
      <c r="A23" s="80"/>
      <c r="B23" s="80"/>
      <c r="C23" s="118"/>
      <c r="D23" s="118"/>
      <c r="E23" s="118"/>
      <c r="F23" s="118"/>
    </row>
    <row r="24" spans="1:6" hidden="1">
      <c r="A24" s="80"/>
      <c r="B24" s="80" t="s">
        <v>271</v>
      </c>
      <c r="C24" s="118">
        <f>SUM(C20:C22)</f>
        <v>0</v>
      </c>
      <c r="D24" s="118">
        <f>SUM(D20:D22)</f>
        <v>0</v>
      </c>
      <c r="E24" s="118">
        <f>SUM(E20:E22)</f>
        <v>0</v>
      </c>
      <c r="F24" s="118">
        <f>SUM(F20:F22)</f>
        <v>0</v>
      </c>
    </row>
    <row r="25" spans="1:6" hidden="1">
      <c r="B25" s="80"/>
      <c r="C25" s="80"/>
      <c r="D25" s="80"/>
      <c r="E25" s="80"/>
      <c r="F25" s="80"/>
    </row>
    <row r="26" spans="1:6" hidden="1">
      <c r="A26" s="86">
        <v>2016</v>
      </c>
      <c r="B26" s="80" t="s">
        <v>283</v>
      </c>
      <c r="C26" s="80" t="s">
        <v>296</v>
      </c>
      <c r="D26" s="80" t="s">
        <v>297</v>
      </c>
      <c r="E26" s="80" t="s">
        <v>298</v>
      </c>
      <c r="F26" s="80" t="s">
        <v>286</v>
      </c>
    </row>
    <row r="27" spans="1:6" hidden="1">
      <c r="B27" s="80" t="s">
        <v>287</v>
      </c>
      <c r="C27" s="80" t="s">
        <v>299</v>
      </c>
      <c r="D27" s="80" t="s">
        <v>299</v>
      </c>
      <c r="E27" s="80" t="s">
        <v>299</v>
      </c>
      <c r="F27" s="80" t="s">
        <v>300</v>
      </c>
    </row>
    <row r="28" spans="1:6" hidden="1">
      <c r="B28" s="80"/>
      <c r="C28" s="80"/>
      <c r="D28" s="80"/>
      <c r="E28" s="80"/>
      <c r="F28" s="80"/>
    </row>
    <row r="29" spans="1:6" hidden="1">
      <c r="A29" s="80">
        <f>Premiums!$B$7</f>
        <v>19.3</v>
      </c>
      <c r="B29" s="116">
        <f>A26</f>
        <v>2016</v>
      </c>
      <c r="C29" s="117">
        <v>0</v>
      </c>
      <c r="D29" s="117">
        <v>0</v>
      </c>
      <c r="E29" s="117">
        <v>0</v>
      </c>
      <c r="F29" s="117">
        <v>0</v>
      </c>
    </row>
    <row r="30" spans="1:6" hidden="1">
      <c r="A30" s="80">
        <f>Premiums!$C$7</f>
        <v>19.399999999999999</v>
      </c>
      <c r="B30" s="116">
        <f t="shared" ref="B30:B31" si="2">B29</f>
        <v>2016</v>
      </c>
      <c r="C30" s="117">
        <v>0</v>
      </c>
      <c r="D30" s="117">
        <v>0</v>
      </c>
      <c r="E30" s="117">
        <v>0</v>
      </c>
      <c r="F30" s="117">
        <v>0</v>
      </c>
    </row>
    <row r="31" spans="1:6" hidden="1">
      <c r="A31" s="80">
        <f>Premiums!$D$7</f>
        <v>21.2</v>
      </c>
      <c r="B31" s="116">
        <f t="shared" si="2"/>
        <v>2016</v>
      </c>
      <c r="C31" s="117">
        <v>0</v>
      </c>
      <c r="D31" s="117">
        <v>0</v>
      </c>
      <c r="E31" s="117">
        <v>0</v>
      </c>
      <c r="F31" s="117">
        <v>0</v>
      </c>
    </row>
    <row r="32" spans="1:6" hidden="1">
      <c r="C32" s="118"/>
      <c r="D32" s="118"/>
      <c r="E32" s="118"/>
      <c r="F32" s="118"/>
    </row>
    <row r="33" spans="1:6" hidden="1">
      <c r="B33" s="80" t="s">
        <v>271</v>
      </c>
      <c r="C33" s="118">
        <f>SUM(C29:C31)</f>
        <v>0</v>
      </c>
      <c r="D33" s="118">
        <f>SUM(D29:D31)</f>
        <v>0</v>
      </c>
      <c r="E33" s="118">
        <f>SUM(E29:E31)</f>
        <v>0</v>
      </c>
      <c r="F33" s="118">
        <f>SUM(F29:F31)</f>
        <v>0</v>
      </c>
    </row>
    <row r="34" spans="1:6" hidden="1">
      <c r="B34" s="80"/>
      <c r="C34" s="80"/>
      <c r="D34" s="80"/>
      <c r="E34" s="80"/>
      <c r="F34" s="80"/>
    </row>
    <row r="35" spans="1:6" hidden="1">
      <c r="A35" s="86">
        <v>2015</v>
      </c>
      <c r="B35" s="80" t="s">
        <v>283</v>
      </c>
      <c r="C35" s="80" t="s">
        <v>296</v>
      </c>
      <c r="D35" s="80" t="s">
        <v>297</v>
      </c>
      <c r="E35" s="80" t="s">
        <v>298</v>
      </c>
      <c r="F35" s="80" t="s">
        <v>286</v>
      </c>
    </row>
    <row r="36" spans="1:6" hidden="1">
      <c r="B36" s="80" t="s">
        <v>287</v>
      </c>
      <c r="C36" s="80" t="s">
        <v>299</v>
      </c>
      <c r="D36" s="80" t="s">
        <v>299</v>
      </c>
      <c r="E36" s="80" t="s">
        <v>299</v>
      </c>
      <c r="F36" s="80" t="s">
        <v>300</v>
      </c>
    </row>
    <row r="37" spans="1:6" hidden="1">
      <c r="B37" s="80"/>
      <c r="C37" s="80"/>
      <c r="D37" s="80"/>
      <c r="E37" s="80"/>
      <c r="F37" s="80"/>
    </row>
    <row r="38" spans="1:6" hidden="1">
      <c r="A38" s="80">
        <f>Premiums!$B$7</f>
        <v>19.3</v>
      </c>
      <c r="B38" s="116">
        <f>A35</f>
        <v>2015</v>
      </c>
      <c r="C38" s="117">
        <v>0</v>
      </c>
      <c r="D38" s="117">
        <v>0</v>
      </c>
      <c r="E38" s="117">
        <v>0</v>
      </c>
      <c r="F38" s="117">
        <v>0</v>
      </c>
    </row>
    <row r="39" spans="1:6" hidden="1">
      <c r="A39" s="80">
        <f>Premiums!$C$7</f>
        <v>19.399999999999999</v>
      </c>
      <c r="B39" s="116">
        <f t="shared" ref="B39:B40" si="3">B38</f>
        <v>2015</v>
      </c>
      <c r="C39" s="117">
        <v>0</v>
      </c>
      <c r="D39" s="117">
        <v>0</v>
      </c>
      <c r="E39" s="117">
        <v>0</v>
      </c>
      <c r="F39" s="117">
        <v>0</v>
      </c>
    </row>
    <row r="40" spans="1:6" hidden="1">
      <c r="A40" s="80">
        <f>Premiums!$D$7</f>
        <v>21.2</v>
      </c>
      <c r="B40" s="116">
        <f t="shared" si="3"/>
        <v>2015</v>
      </c>
      <c r="C40" s="117">
        <v>0</v>
      </c>
      <c r="D40" s="117">
        <v>0</v>
      </c>
      <c r="E40" s="117">
        <v>0</v>
      </c>
      <c r="F40" s="117">
        <v>0</v>
      </c>
    </row>
    <row r="41" spans="1:6" hidden="1">
      <c r="C41" s="118"/>
      <c r="D41" s="118"/>
      <c r="E41" s="118"/>
      <c r="F41" s="118"/>
    </row>
    <row r="42" spans="1:6" hidden="1">
      <c r="B42" s="80" t="s">
        <v>271</v>
      </c>
      <c r="C42" s="118">
        <f>SUM(C38:C40)</f>
        <v>0</v>
      </c>
      <c r="D42" s="118">
        <f>SUM(D38:D40)</f>
        <v>0</v>
      </c>
      <c r="E42" s="118">
        <f>SUM(E38:E40)</f>
        <v>0</v>
      </c>
      <c r="F42" s="118">
        <f>SUM(F38:F40)</f>
        <v>0</v>
      </c>
    </row>
    <row r="43" spans="1:6" hidden="1">
      <c r="B43" s="80"/>
      <c r="C43" s="80"/>
      <c r="D43" s="80"/>
      <c r="E43" s="80"/>
    </row>
    <row r="44" spans="1:6" hidden="1">
      <c r="A44" s="86">
        <v>2014</v>
      </c>
      <c r="B44" s="80" t="s">
        <v>283</v>
      </c>
      <c r="C44" s="80" t="s">
        <v>296</v>
      </c>
      <c r="D44" s="80" t="s">
        <v>297</v>
      </c>
      <c r="E44" s="80" t="s">
        <v>298</v>
      </c>
      <c r="F44" s="80" t="s">
        <v>286</v>
      </c>
    </row>
    <row r="45" spans="1:6" hidden="1">
      <c r="B45" s="80" t="s">
        <v>287</v>
      </c>
      <c r="C45" s="80" t="s">
        <v>299</v>
      </c>
      <c r="D45" s="80" t="s">
        <v>299</v>
      </c>
      <c r="E45" s="80" t="s">
        <v>299</v>
      </c>
      <c r="F45" s="80" t="s">
        <v>300</v>
      </c>
    </row>
    <row r="46" spans="1:6" hidden="1">
      <c r="B46" s="80"/>
      <c r="C46" s="80"/>
      <c r="D46" s="80"/>
      <c r="E46" s="80"/>
      <c r="F46" s="80"/>
    </row>
    <row r="47" spans="1:6" hidden="1">
      <c r="A47" s="80">
        <f>Premiums!$B$7</f>
        <v>19.3</v>
      </c>
      <c r="B47" s="116">
        <f>A44</f>
        <v>2014</v>
      </c>
      <c r="C47" s="117">
        <v>0</v>
      </c>
      <c r="D47" s="117">
        <v>0</v>
      </c>
      <c r="E47" s="117">
        <v>0</v>
      </c>
      <c r="F47" s="117">
        <v>0</v>
      </c>
    </row>
    <row r="48" spans="1:6" hidden="1">
      <c r="A48" s="80">
        <f>Premiums!$C$7</f>
        <v>19.399999999999999</v>
      </c>
      <c r="B48" s="116">
        <f t="shared" ref="B48:B49" si="4">B47</f>
        <v>2014</v>
      </c>
      <c r="C48" s="117">
        <v>0</v>
      </c>
      <c r="D48" s="117">
        <v>0</v>
      </c>
      <c r="E48" s="117">
        <v>0</v>
      </c>
      <c r="F48" s="117">
        <v>0</v>
      </c>
    </row>
    <row r="49" spans="1:6" hidden="1">
      <c r="A49" s="80">
        <f>Premiums!$D$7</f>
        <v>21.2</v>
      </c>
      <c r="B49" s="116">
        <f t="shared" si="4"/>
        <v>2014</v>
      </c>
      <c r="C49" s="117">
        <v>0</v>
      </c>
      <c r="D49" s="117">
        <v>0</v>
      </c>
      <c r="E49" s="117">
        <v>0</v>
      </c>
      <c r="F49" s="117">
        <v>0</v>
      </c>
    </row>
    <row r="50" spans="1:6" hidden="1">
      <c r="C50" s="118"/>
      <c r="D50" s="118"/>
      <c r="E50" s="118"/>
      <c r="F50" s="118"/>
    </row>
    <row r="51" spans="1:6" hidden="1">
      <c r="B51" s="80" t="s">
        <v>271</v>
      </c>
      <c r="C51" s="118">
        <f>SUM(C47:C49)</f>
        <v>0</v>
      </c>
      <c r="D51" s="118">
        <f>SUM(D47:D49)</f>
        <v>0</v>
      </c>
      <c r="E51" s="118">
        <f>SUM(E47:E49)</f>
        <v>0</v>
      </c>
      <c r="F51" s="118">
        <f>SUM(F47:F49)</f>
        <v>0</v>
      </c>
    </row>
    <row r="52" spans="1:6" hidden="1">
      <c r="B52" s="80"/>
      <c r="C52" s="80"/>
      <c r="D52" s="80"/>
      <c r="E52" s="80"/>
    </row>
    <row r="53" spans="1:6" hidden="1">
      <c r="A53" s="86">
        <v>2013</v>
      </c>
      <c r="B53" s="80" t="s">
        <v>283</v>
      </c>
      <c r="C53" s="80" t="s">
        <v>296</v>
      </c>
      <c r="D53" s="80" t="s">
        <v>297</v>
      </c>
      <c r="E53" s="80" t="s">
        <v>298</v>
      </c>
      <c r="F53" s="80" t="s">
        <v>286</v>
      </c>
    </row>
    <row r="54" spans="1:6" hidden="1">
      <c r="B54" s="80" t="s">
        <v>287</v>
      </c>
      <c r="C54" s="80" t="s">
        <v>299</v>
      </c>
      <c r="D54" s="80" t="s">
        <v>299</v>
      </c>
      <c r="E54" s="80" t="s">
        <v>299</v>
      </c>
      <c r="F54" s="80" t="s">
        <v>300</v>
      </c>
    </row>
    <row r="55" spans="1:6" hidden="1">
      <c r="B55" s="80"/>
      <c r="C55" s="80"/>
      <c r="D55" s="80"/>
      <c r="E55" s="80"/>
      <c r="F55" s="80"/>
    </row>
    <row r="56" spans="1:6" hidden="1">
      <c r="A56" s="80">
        <f>Premiums!$B$7</f>
        <v>19.3</v>
      </c>
      <c r="B56" s="116">
        <f>A53</f>
        <v>2013</v>
      </c>
      <c r="C56" s="117">
        <v>0</v>
      </c>
      <c r="D56" s="117">
        <v>0</v>
      </c>
      <c r="E56" s="117">
        <v>0</v>
      </c>
      <c r="F56" s="117">
        <v>0</v>
      </c>
    </row>
    <row r="57" spans="1:6" hidden="1">
      <c r="A57" s="80">
        <f>Premiums!$C$7</f>
        <v>19.399999999999999</v>
      </c>
      <c r="B57" s="116">
        <f t="shared" ref="B57:B58" si="5">B56</f>
        <v>2013</v>
      </c>
      <c r="C57" s="117">
        <v>0</v>
      </c>
      <c r="D57" s="117">
        <v>0</v>
      </c>
      <c r="E57" s="117">
        <v>0</v>
      </c>
      <c r="F57" s="117">
        <v>0</v>
      </c>
    </row>
    <row r="58" spans="1:6" hidden="1">
      <c r="A58" s="80">
        <f>Premiums!$D$7</f>
        <v>21.2</v>
      </c>
      <c r="B58" s="116">
        <f t="shared" si="5"/>
        <v>2013</v>
      </c>
      <c r="C58" s="117">
        <v>0</v>
      </c>
      <c r="D58" s="117">
        <v>0</v>
      </c>
      <c r="E58" s="117">
        <v>0</v>
      </c>
      <c r="F58" s="117">
        <v>0</v>
      </c>
    </row>
    <row r="59" spans="1:6" hidden="1">
      <c r="C59" s="118"/>
      <c r="D59" s="118"/>
      <c r="E59" s="118"/>
      <c r="F59" s="118"/>
    </row>
    <row r="60" spans="1:6" hidden="1">
      <c r="B60" s="80" t="s">
        <v>271</v>
      </c>
      <c r="C60" s="118">
        <f>SUM(C56:C58)</f>
        <v>0</v>
      </c>
      <c r="D60" s="118">
        <f>SUM(D56:D58)</f>
        <v>0</v>
      </c>
      <c r="E60" s="118">
        <f>SUM(E56:E58)</f>
        <v>0</v>
      </c>
      <c r="F60" s="118">
        <f>SUM(F56:F58)</f>
        <v>0</v>
      </c>
    </row>
    <row r="61" spans="1:6">
      <c r="B61" s="80"/>
      <c r="C61" s="80"/>
      <c r="D61" s="80"/>
      <c r="E61" s="80"/>
    </row>
    <row r="62" spans="1:6">
      <c r="A62" s="86">
        <v>2013</v>
      </c>
      <c r="B62" s="80" t="s">
        <v>283</v>
      </c>
      <c r="C62" s="80" t="s">
        <v>296</v>
      </c>
      <c r="D62" s="80" t="s">
        <v>297</v>
      </c>
      <c r="E62" s="80" t="s">
        <v>298</v>
      </c>
      <c r="F62" s="80" t="s">
        <v>286</v>
      </c>
    </row>
    <row r="63" spans="1:6">
      <c r="B63" s="80" t="s">
        <v>287</v>
      </c>
      <c r="C63" s="80" t="s">
        <v>299</v>
      </c>
      <c r="D63" s="80" t="s">
        <v>299</v>
      </c>
      <c r="E63" s="80" t="s">
        <v>299</v>
      </c>
      <c r="F63" s="80" t="s">
        <v>300</v>
      </c>
    </row>
    <row r="64" spans="1:6">
      <c r="B64" s="80"/>
      <c r="C64" s="80"/>
      <c r="D64" s="80"/>
      <c r="E64" s="80"/>
      <c r="F64" s="80"/>
    </row>
    <row r="65" spans="1:6">
      <c r="A65" s="80">
        <f>Premiums!$B$7</f>
        <v>19.3</v>
      </c>
      <c r="B65" s="116">
        <f>A62</f>
        <v>2013</v>
      </c>
      <c r="C65" s="117">
        <v>0</v>
      </c>
      <c r="D65" s="117">
        <v>0</v>
      </c>
      <c r="E65" s="117">
        <v>0</v>
      </c>
      <c r="F65" s="117">
        <v>0</v>
      </c>
    </row>
    <row r="66" spans="1:6">
      <c r="A66" s="80">
        <f>Premiums!$C$7</f>
        <v>19.399999999999999</v>
      </c>
      <c r="B66" s="116">
        <f t="shared" ref="B66:B67" si="6">B65</f>
        <v>2013</v>
      </c>
      <c r="C66" s="117">
        <v>0</v>
      </c>
      <c r="D66" s="117">
        <v>0</v>
      </c>
      <c r="E66" s="117">
        <v>0</v>
      </c>
      <c r="F66" s="117">
        <v>0</v>
      </c>
    </row>
    <row r="67" spans="1:6">
      <c r="A67" s="80">
        <f>Premiums!$D$7</f>
        <v>21.2</v>
      </c>
      <c r="B67" s="116">
        <f t="shared" si="6"/>
        <v>2013</v>
      </c>
      <c r="C67" s="117">
        <v>0</v>
      </c>
      <c r="D67" s="117">
        <v>0</v>
      </c>
      <c r="E67" s="117">
        <v>0</v>
      </c>
      <c r="F67" s="117">
        <v>0</v>
      </c>
    </row>
    <row r="68" spans="1:6">
      <c r="C68" s="118"/>
      <c r="D68" s="118"/>
      <c r="E68" s="118"/>
      <c r="F68" s="118"/>
    </row>
    <row r="69" spans="1:6">
      <c r="B69" s="80" t="s">
        <v>271</v>
      </c>
      <c r="C69" s="118">
        <f>SUM(C65:C67)</f>
        <v>0</v>
      </c>
      <c r="D69" s="118">
        <f>SUM(D65:D67)</f>
        <v>0</v>
      </c>
      <c r="E69" s="118">
        <f>SUM(E65:E67)</f>
        <v>0</v>
      </c>
      <c r="F69" s="118">
        <f>SUM(F65:F67)</f>
        <v>0</v>
      </c>
    </row>
    <row r="70" spans="1:6">
      <c r="B70" s="80"/>
      <c r="C70" s="80"/>
      <c r="D70" s="80"/>
      <c r="E70" s="80"/>
      <c r="F70" s="80"/>
    </row>
    <row r="71" spans="1:6">
      <c r="C71" s="80"/>
      <c r="D71" s="80"/>
      <c r="E71" s="80"/>
      <c r="F71" s="80"/>
    </row>
    <row r="72" spans="1:6">
      <c r="A72" s="119"/>
      <c r="B72" s="120" t="s">
        <v>290</v>
      </c>
      <c r="C72" s="120" t="s">
        <v>296</v>
      </c>
      <c r="D72" s="120" t="s">
        <v>297</v>
      </c>
      <c r="E72" s="120" t="s">
        <v>298</v>
      </c>
      <c r="F72" s="120" t="s">
        <v>286</v>
      </c>
    </row>
    <row r="73" spans="1:6">
      <c r="A73" s="119"/>
      <c r="B73" s="120" t="s">
        <v>291</v>
      </c>
      <c r="C73" s="120" t="s">
        <v>299</v>
      </c>
      <c r="D73" s="120" t="s">
        <v>299</v>
      </c>
      <c r="E73" s="120" t="s">
        <v>299</v>
      </c>
      <c r="F73" s="120" t="s">
        <v>300</v>
      </c>
    </row>
    <row r="74" spans="1:6">
      <c r="A74" s="119"/>
      <c r="B74" s="120"/>
      <c r="C74" s="120"/>
      <c r="D74" s="120"/>
      <c r="E74" s="120"/>
      <c r="F74" s="120"/>
    </row>
    <row r="75" spans="1:6">
      <c r="A75" s="120">
        <f>Premiums!$B$7</f>
        <v>19.3</v>
      </c>
      <c r="B75" s="120"/>
      <c r="C75" s="122">
        <f t="shared" ref="C75:F77" si="7">C11+C20+C29+C38+C47+C56+C65</f>
        <v>0</v>
      </c>
      <c r="D75" s="122">
        <f t="shared" si="7"/>
        <v>0</v>
      </c>
      <c r="E75" s="122">
        <f t="shared" si="7"/>
        <v>0</v>
      </c>
      <c r="F75" s="122">
        <f t="shared" si="7"/>
        <v>0</v>
      </c>
    </row>
    <row r="76" spans="1:6">
      <c r="A76" s="120">
        <f>Premiums!$C$7</f>
        <v>19.399999999999999</v>
      </c>
      <c r="B76" s="120"/>
      <c r="C76" s="122">
        <f t="shared" si="7"/>
        <v>0</v>
      </c>
      <c r="D76" s="122">
        <f t="shared" si="7"/>
        <v>0</v>
      </c>
      <c r="E76" s="122">
        <f t="shared" si="7"/>
        <v>0</v>
      </c>
      <c r="F76" s="122">
        <f t="shared" si="7"/>
        <v>0</v>
      </c>
    </row>
    <row r="77" spans="1:6">
      <c r="A77" s="120">
        <f>Premiums!$D$7</f>
        <v>21.2</v>
      </c>
      <c r="B77" s="120"/>
      <c r="C77" s="122">
        <f t="shared" si="7"/>
        <v>0</v>
      </c>
      <c r="D77" s="122">
        <f t="shared" si="7"/>
        <v>0</v>
      </c>
      <c r="E77" s="122">
        <f t="shared" si="7"/>
        <v>0</v>
      </c>
      <c r="F77" s="122">
        <f t="shared" si="7"/>
        <v>0</v>
      </c>
    </row>
    <row r="78" spans="1:6">
      <c r="A78" s="119"/>
      <c r="B78" s="119"/>
      <c r="C78" s="122"/>
      <c r="D78" s="122"/>
      <c r="E78" s="122"/>
      <c r="F78" s="122"/>
    </row>
    <row r="79" spans="1:6">
      <c r="A79" s="119"/>
      <c r="B79" s="120" t="s">
        <v>271</v>
      </c>
      <c r="C79" s="122">
        <f>SUM(C75:C77)</f>
        <v>0</v>
      </c>
      <c r="D79" s="122">
        <f>SUM(D75:D77)</f>
        <v>0</v>
      </c>
      <c r="E79" s="122">
        <f>SUM(E75:E77)</f>
        <v>0</v>
      </c>
      <c r="F79" s="122">
        <f>SUM(F75:F77)</f>
        <v>0</v>
      </c>
    </row>
    <row r="81" spans="1:6">
      <c r="C81" s="80"/>
      <c r="D81" s="80"/>
      <c r="E81" s="80"/>
    </row>
    <row r="82" spans="1:6" hidden="1">
      <c r="B82" s="80"/>
      <c r="C82" s="80" t="s">
        <v>296</v>
      </c>
      <c r="D82" s="80" t="s">
        <v>297</v>
      </c>
      <c r="E82" s="80" t="s">
        <v>298</v>
      </c>
      <c r="F82" s="80" t="s">
        <v>286</v>
      </c>
    </row>
    <row r="83" spans="1:6" hidden="1">
      <c r="B83" s="80" t="s">
        <v>292</v>
      </c>
      <c r="C83" s="80" t="s">
        <v>299</v>
      </c>
      <c r="D83" s="80" t="s">
        <v>299</v>
      </c>
      <c r="E83" s="80" t="s">
        <v>299</v>
      </c>
      <c r="F83" s="80" t="s">
        <v>300</v>
      </c>
    </row>
    <row r="84" spans="1:6" hidden="1">
      <c r="B84" s="80"/>
      <c r="C84" s="80"/>
      <c r="D84" s="80"/>
      <c r="E84" s="80"/>
      <c r="F84" s="80"/>
    </row>
    <row r="85" spans="1:6" hidden="1">
      <c r="A85" s="80">
        <f>Premiums!$B$7</f>
        <v>19.3</v>
      </c>
      <c r="B85" s="80"/>
      <c r="C85" s="117">
        <v>0</v>
      </c>
      <c r="D85" s="117">
        <v>0</v>
      </c>
      <c r="E85" s="117">
        <v>0</v>
      </c>
      <c r="F85" s="80" t="s">
        <v>293</v>
      </c>
    </row>
    <row r="86" spans="1:6" hidden="1">
      <c r="A86" s="80">
        <f>Premiums!$C$7</f>
        <v>19.399999999999999</v>
      </c>
      <c r="B86" s="80"/>
      <c r="C86" s="117">
        <v>0</v>
      </c>
      <c r="D86" s="117">
        <v>0</v>
      </c>
      <c r="E86" s="117">
        <v>0</v>
      </c>
      <c r="F86" s="80" t="s">
        <v>293</v>
      </c>
    </row>
    <row r="87" spans="1:6" hidden="1">
      <c r="A87" s="80">
        <f>Premiums!$D$7</f>
        <v>21.2</v>
      </c>
      <c r="B87" s="80"/>
      <c r="C87" s="117">
        <v>0</v>
      </c>
      <c r="D87" s="117">
        <v>0</v>
      </c>
      <c r="E87" s="117">
        <v>0</v>
      </c>
      <c r="F87" s="80" t="s">
        <v>293</v>
      </c>
    </row>
    <row r="88" spans="1:6" hidden="1">
      <c r="C88" s="123"/>
      <c r="D88" s="123"/>
      <c r="E88" s="123"/>
      <c r="F88" s="80"/>
    </row>
    <row r="89" spans="1:6" hidden="1">
      <c r="B89" s="80" t="s">
        <v>271</v>
      </c>
      <c r="C89" s="123">
        <f>SUM(C85:C87)</f>
        <v>0</v>
      </c>
      <c r="D89" s="123">
        <f>SUM(D85:D87)</f>
        <v>0</v>
      </c>
      <c r="E89" s="123">
        <f>SUM(E85:E87)</f>
        <v>0</v>
      </c>
      <c r="F89" s="80" t="s">
        <v>293</v>
      </c>
    </row>
    <row r="90" spans="1:6" hidden="1">
      <c r="B90" s="80"/>
      <c r="C90" s="80"/>
      <c r="D90" s="80"/>
      <c r="E90" s="80"/>
      <c r="F90" s="80"/>
    </row>
    <row r="91" spans="1:6" hidden="1"/>
    <row r="92" spans="1:6" hidden="1">
      <c r="A92" s="124"/>
      <c r="B92" s="116"/>
      <c r="C92" s="116" t="s">
        <v>296</v>
      </c>
      <c r="D92" s="116" t="s">
        <v>297</v>
      </c>
      <c r="E92" s="116" t="s">
        <v>298</v>
      </c>
      <c r="F92" s="116" t="s">
        <v>286</v>
      </c>
    </row>
    <row r="93" spans="1:6" hidden="1">
      <c r="A93" s="124"/>
      <c r="B93" s="116" t="s">
        <v>276</v>
      </c>
      <c r="C93" s="116" t="s">
        <v>299</v>
      </c>
      <c r="D93" s="116" t="s">
        <v>299</v>
      </c>
      <c r="E93" s="116" t="s">
        <v>299</v>
      </c>
      <c r="F93" s="116" t="s">
        <v>300</v>
      </c>
    </row>
    <row r="94" spans="1:6" hidden="1">
      <c r="A94" s="124"/>
      <c r="B94" s="116"/>
      <c r="C94" s="116"/>
      <c r="D94" s="116"/>
      <c r="E94" s="116"/>
      <c r="F94" s="116"/>
    </row>
    <row r="95" spans="1:6" hidden="1">
      <c r="A95" s="116">
        <f>Premiums!$B$7</f>
        <v>19.3</v>
      </c>
      <c r="B95" s="116"/>
      <c r="C95" s="125">
        <f t="shared" ref="C95:E97" si="8">C75-C85</f>
        <v>0</v>
      </c>
      <c r="D95" s="125">
        <f t="shared" si="8"/>
        <v>0</v>
      </c>
      <c r="E95" s="125">
        <f t="shared" si="8"/>
        <v>0</v>
      </c>
      <c r="F95" s="116" t="s">
        <v>293</v>
      </c>
    </row>
    <row r="96" spans="1:6" hidden="1">
      <c r="A96" s="116">
        <f>Premiums!$C$7</f>
        <v>19.399999999999999</v>
      </c>
      <c r="B96" s="116"/>
      <c r="C96" s="125">
        <f t="shared" si="8"/>
        <v>0</v>
      </c>
      <c r="D96" s="125">
        <f t="shared" si="8"/>
        <v>0</v>
      </c>
      <c r="E96" s="125">
        <f t="shared" si="8"/>
        <v>0</v>
      </c>
      <c r="F96" s="116" t="s">
        <v>293</v>
      </c>
    </row>
    <row r="97" spans="1:6" hidden="1">
      <c r="A97" s="116">
        <f>Premiums!$D$7</f>
        <v>21.2</v>
      </c>
      <c r="B97" s="116"/>
      <c r="C97" s="125">
        <f t="shared" si="8"/>
        <v>0</v>
      </c>
      <c r="D97" s="125">
        <f t="shared" si="8"/>
        <v>0</v>
      </c>
      <c r="E97" s="125">
        <f t="shared" si="8"/>
        <v>0</v>
      </c>
      <c r="F97" s="116" t="s">
        <v>293</v>
      </c>
    </row>
    <row r="98" spans="1:6" hidden="1">
      <c r="A98" s="124"/>
      <c r="B98" s="124"/>
      <c r="C98" s="125"/>
      <c r="D98" s="125"/>
      <c r="E98" s="125"/>
      <c r="F98" s="116"/>
    </row>
    <row r="99" spans="1:6" hidden="1">
      <c r="A99" s="124"/>
      <c r="B99" s="116" t="s">
        <v>271</v>
      </c>
      <c r="C99" s="125">
        <f>SUM(C95:C97)</f>
        <v>0</v>
      </c>
      <c r="D99" s="125">
        <f>SUM(D95:D97)</f>
        <v>0</v>
      </c>
      <c r="E99" s="125">
        <f>SUM(E95:E97)</f>
        <v>0</v>
      </c>
      <c r="F99" s="116" t="s">
        <v>293</v>
      </c>
    </row>
    <row r="100" spans="1:6" hidden="1"/>
    <row r="101" spans="1:6" hidden="1"/>
    <row r="102" spans="1:6" hidden="1"/>
    <row r="103" spans="1:6" hidden="1"/>
    <row r="104" spans="1:6" hidden="1"/>
    <row r="105" spans="1:6" hidden="1"/>
    <row r="106" spans="1:6" ht="18" hidden="1">
      <c r="A106" s="126" t="s">
        <v>277</v>
      </c>
      <c r="B106" s="126"/>
      <c r="C106" s="126"/>
      <c r="D106" s="126"/>
      <c r="E106" s="126"/>
      <c r="F106" s="126"/>
    </row>
    <row r="107" spans="1:6" hidden="1">
      <c r="B107" s="80"/>
      <c r="C107" s="80" t="s">
        <v>296</v>
      </c>
      <c r="D107" s="80" t="s">
        <v>297</v>
      </c>
      <c r="E107" s="80" t="s">
        <v>298</v>
      </c>
      <c r="F107" s="80" t="s">
        <v>286</v>
      </c>
    </row>
    <row r="108" spans="1:6" hidden="1">
      <c r="B108" s="80" t="s">
        <v>301</v>
      </c>
      <c r="C108" s="80" t="s">
        <v>299</v>
      </c>
      <c r="D108" s="80" t="s">
        <v>299</v>
      </c>
      <c r="E108" s="80" t="s">
        <v>299</v>
      </c>
      <c r="F108" s="80" t="s">
        <v>300</v>
      </c>
    </row>
    <row r="109" spans="1:6" hidden="1">
      <c r="B109" s="80"/>
      <c r="C109" s="80"/>
      <c r="D109" s="80"/>
      <c r="E109" s="80"/>
      <c r="F109" s="80"/>
    </row>
    <row r="110" spans="1:6" hidden="1">
      <c r="A110" s="80">
        <f>Premiums!$B$7</f>
        <v>19.3</v>
      </c>
      <c r="B110" s="80"/>
      <c r="C110" s="117">
        <v>0</v>
      </c>
      <c r="D110" s="117">
        <v>0</v>
      </c>
      <c r="E110" s="117">
        <v>0</v>
      </c>
      <c r="F110" s="80" t="s">
        <v>293</v>
      </c>
    </row>
    <row r="111" spans="1:6" hidden="1">
      <c r="A111" s="80">
        <f>Premiums!$C$7</f>
        <v>19.399999999999999</v>
      </c>
      <c r="B111" s="80"/>
      <c r="C111" s="117">
        <v>0</v>
      </c>
      <c r="D111" s="117">
        <v>0</v>
      </c>
      <c r="E111" s="117">
        <v>0</v>
      </c>
      <c r="F111" s="80" t="s">
        <v>293</v>
      </c>
    </row>
    <row r="112" spans="1:6" hidden="1">
      <c r="A112" s="80">
        <f>Premiums!$D$7</f>
        <v>21.2</v>
      </c>
      <c r="B112" s="80"/>
      <c r="C112" s="117">
        <v>0</v>
      </c>
      <c r="D112" s="117">
        <v>0</v>
      </c>
      <c r="E112" s="117">
        <v>0</v>
      </c>
      <c r="F112" s="80" t="s">
        <v>293</v>
      </c>
    </row>
    <row r="113" spans="2:6" hidden="1">
      <c r="C113" s="123"/>
      <c r="D113" s="123"/>
      <c r="E113" s="123"/>
      <c r="F113" s="80"/>
    </row>
    <row r="114" spans="2:6" hidden="1">
      <c r="B114" s="80" t="s">
        <v>271</v>
      </c>
      <c r="C114" s="123">
        <f>SUM(C110:C112)</f>
        <v>0</v>
      </c>
      <c r="D114" s="123">
        <f>SUM(D110:D112)</f>
        <v>0</v>
      </c>
      <c r="E114" s="123">
        <f>SUM(E110:E112)</f>
        <v>0</v>
      </c>
      <c r="F114" s="80" t="s">
        <v>293</v>
      </c>
    </row>
    <row r="115" spans="2:6" hidden="1"/>
    <row r="116" spans="2:6" hidden="1"/>
    <row r="117" spans="2:6" hidden="1"/>
    <row r="118" spans="2:6" hidden="1"/>
    <row r="119" spans="2:6" hidden="1"/>
    <row r="120" spans="2:6" hidden="1"/>
    <row r="121" spans="2:6" hidden="1"/>
    <row r="122" spans="2:6" hidden="1"/>
    <row r="123" spans="2:6" hidden="1"/>
    <row r="124" spans="2:6" hidden="1"/>
    <row r="125" spans="2:6" hidden="1"/>
    <row r="126" spans="2:6" hidden="1"/>
  </sheetData>
  <printOptions gridLines="1"/>
  <pageMargins left="0.5" right="0.5" top="0.5" bottom="0.25" header="0.5" footer="0.25"/>
  <pageSetup scale="78" orientation="portrait" blackAndWhite="1" r:id="rId1"/>
  <headerFooter alignWithMargins="0">
    <oddFooter>&amp;LM:\ACCT\EDROBERT\MGA-FORMAT.XLS&amp;R&amp;D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G86"/>
  <sheetViews>
    <sheetView zoomScale="75" zoomScaleNormal="75" workbookViewId="0">
      <selection activeCell="A5" sqref="A5"/>
    </sheetView>
  </sheetViews>
  <sheetFormatPr defaultRowHeight="12.75"/>
  <cols>
    <col min="1" max="1" width="17.28515625" style="78" customWidth="1"/>
    <col min="2" max="2" width="26.42578125" style="78" customWidth="1"/>
    <col min="3" max="3" width="25.7109375" style="78" customWidth="1"/>
    <col min="4" max="4" width="14.5703125" style="78" customWidth="1"/>
    <col min="5" max="5" width="19.42578125" style="78" customWidth="1"/>
    <col min="6" max="6" width="20" style="78" customWidth="1"/>
    <col min="7" max="7" width="25.7109375" style="78" bestFit="1" customWidth="1"/>
    <col min="8" max="256" width="9.140625" style="78"/>
    <col min="257" max="257" width="17.28515625" style="78" customWidth="1"/>
    <col min="258" max="258" width="26.42578125" style="78" customWidth="1"/>
    <col min="259" max="259" width="25.7109375" style="78" customWidth="1"/>
    <col min="260" max="260" width="14.5703125" style="78" customWidth="1"/>
    <col min="261" max="261" width="19.42578125" style="78" customWidth="1"/>
    <col min="262" max="262" width="20" style="78" customWidth="1"/>
    <col min="263" max="263" width="25.7109375" style="78" bestFit="1" customWidth="1"/>
    <col min="264" max="512" width="9.140625" style="78"/>
    <col min="513" max="513" width="17.28515625" style="78" customWidth="1"/>
    <col min="514" max="514" width="26.42578125" style="78" customWidth="1"/>
    <col min="515" max="515" width="25.7109375" style="78" customWidth="1"/>
    <col min="516" max="516" width="14.5703125" style="78" customWidth="1"/>
    <col min="517" max="517" width="19.42578125" style="78" customWidth="1"/>
    <col min="518" max="518" width="20" style="78" customWidth="1"/>
    <col min="519" max="519" width="25.7109375" style="78" bestFit="1" customWidth="1"/>
    <col min="520" max="768" width="9.140625" style="78"/>
    <col min="769" max="769" width="17.28515625" style="78" customWidth="1"/>
    <col min="770" max="770" width="26.42578125" style="78" customWidth="1"/>
    <col min="771" max="771" width="25.7109375" style="78" customWidth="1"/>
    <col min="772" max="772" width="14.5703125" style="78" customWidth="1"/>
    <col min="773" max="773" width="19.42578125" style="78" customWidth="1"/>
    <col min="774" max="774" width="20" style="78" customWidth="1"/>
    <col min="775" max="775" width="25.7109375" style="78" bestFit="1" customWidth="1"/>
    <col min="776" max="1024" width="9.140625" style="78"/>
    <col min="1025" max="1025" width="17.28515625" style="78" customWidth="1"/>
    <col min="1026" max="1026" width="26.42578125" style="78" customWidth="1"/>
    <col min="1027" max="1027" width="25.7109375" style="78" customWidth="1"/>
    <col min="1028" max="1028" width="14.5703125" style="78" customWidth="1"/>
    <col min="1029" max="1029" width="19.42578125" style="78" customWidth="1"/>
    <col min="1030" max="1030" width="20" style="78" customWidth="1"/>
    <col min="1031" max="1031" width="25.7109375" style="78" bestFit="1" customWidth="1"/>
    <col min="1032" max="1280" width="9.140625" style="78"/>
    <col min="1281" max="1281" width="17.28515625" style="78" customWidth="1"/>
    <col min="1282" max="1282" width="26.42578125" style="78" customWidth="1"/>
    <col min="1283" max="1283" width="25.7109375" style="78" customWidth="1"/>
    <col min="1284" max="1284" width="14.5703125" style="78" customWidth="1"/>
    <col min="1285" max="1285" width="19.42578125" style="78" customWidth="1"/>
    <col min="1286" max="1286" width="20" style="78" customWidth="1"/>
    <col min="1287" max="1287" width="25.7109375" style="78" bestFit="1" customWidth="1"/>
    <col min="1288" max="1536" width="9.140625" style="78"/>
    <col min="1537" max="1537" width="17.28515625" style="78" customWidth="1"/>
    <col min="1538" max="1538" width="26.42578125" style="78" customWidth="1"/>
    <col min="1539" max="1539" width="25.7109375" style="78" customWidth="1"/>
    <col min="1540" max="1540" width="14.5703125" style="78" customWidth="1"/>
    <col min="1541" max="1541" width="19.42578125" style="78" customWidth="1"/>
    <col min="1542" max="1542" width="20" style="78" customWidth="1"/>
    <col min="1543" max="1543" width="25.7109375" style="78" bestFit="1" customWidth="1"/>
    <col min="1544" max="1792" width="9.140625" style="78"/>
    <col min="1793" max="1793" width="17.28515625" style="78" customWidth="1"/>
    <col min="1794" max="1794" width="26.42578125" style="78" customWidth="1"/>
    <col min="1795" max="1795" width="25.7109375" style="78" customWidth="1"/>
    <col min="1796" max="1796" width="14.5703125" style="78" customWidth="1"/>
    <col min="1797" max="1797" width="19.42578125" style="78" customWidth="1"/>
    <col min="1798" max="1798" width="20" style="78" customWidth="1"/>
    <col min="1799" max="1799" width="25.7109375" style="78" bestFit="1" customWidth="1"/>
    <col min="1800" max="2048" width="9.140625" style="78"/>
    <col min="2049" max="2049" width="17.28515625" style="78" customWidth="1"/>
    <col min="2050" max="2050" width="26.42578125" style="78" customWidth="1"/>
    <col min="2051" max="2051" width="25.7109375" style="78" customWidth="1"/>
    <col min="2052" max="2052" width="14.5703125" style="78" customWidth="1"/>
    <col min="2053" max="2053" width="19.42578125" style="78" customWidth="1"/>
    <col min="2054" max="2054" width="20" style="78" customWidth="1"/>
    <col min="2055" max="2055" width="25.7109375" style="78" bestFit="1" customWidth="1"/>
    <col min="2056" max="2304" width="9.140625" style="78"/>
    <col min="2305" max="2305" width="17.28515625" style="78" customWidth="1"/>
    <col min="2306" max="2306" width="26.42578125" style="78" customWidth="1"/>
    <col min="2307" max="2307" width="25.7109375" style="78" customWidth="1"/>
    <col min="2308" max="2308" width="14.5703125" style="78" customWidth="1"/>
    <col min="2309" max="2309" width="19.42578125" style="78" customWidth="1"/>
    <col min="2310" max="2310" width="20" style="78" customWidth="1"/>
    <col min="2311" max="2311" width="25.7109375" style="78" bestFit="1" customWidth="1"/>
    <col min="2312" max="2560" width="9.140625" style="78"/>
    <col min="2561" max="2561" width="17.28515625" style="78" customWidth="1"/>
    <col min="2562" max="2562" width="26.42578125" style="78" customWidth="1"/>
    <col min="2563" max="2563" width="25.7109375" style="78" customWidth="1"/>
    <col min="2564" max="2564" width="14.5703125" style="78" customWidth="1"/>
    <col min="2565" max="2565" width="19.42578125" style="78" customWidth="1"/>
    <col min="2566" max="2566" width="20" style="78" customWidth="1"/>
    <col min="2567" max="2567" width="25.7109375" style="78" bestFit="1" customWidth="1"/>
    <col min="2568" max="2816" width="9.140625" style="78"/>
    <col min="2817" max="2817" width="17.28515625" style="78" customWidth="1"/>
    <col min="2818" max="2818" width="26.42578125" style="78" customWidth="1"/>
    <col min="2819" max="2819" width="25.7109375" style="78" customWidth="1"/>
    <col min="2820" max="2820" width="14.5703125" style="78" customWidth="1"/>
    <col min="2821" max="2821" width="19.42578125" style="78" customWidth="1"/>
    <col min="2822" max="2822" width="20" style="78" customWidth="1"/>
    <col min="2823" max="2823" width="25.7109375" style="78" bestFit="1" customWidth="1"/>
    <col min="2824" max="3072" width="9.140625" style="78"/>
    <col min="3073" max="3073" width="17.28515625" style="78" customWidth="1"/>
    <col min="3074" max="3074" width="26.42578125" style="78" customWidth="1"/>
    <col min="3075" max="3075" width="25.7109375" style="78" customWidth="1"/>
    <col min="3076" max="3076" width="14.5703125" style="78" customWidth="1"/>
    <col min="3077" max="3077" width="19.42578125" style="78" customWidth="1"/>
    <col min="3078" max="3078" width="20" style="78" customWidth="1"/>
    <col min="3079" max="3079" width="25.7109375" style="78" bestFit="1" customWidth="1"/>
    <col min="3080" max="3328" width="9.140625" style="78"/>
    <col min="3329" max="3329" width="17.28515625" style="78" customWidth="1"/>
    <col min="3330" max="3330" width="26.42578125" style="78" customWidth="1"/>
    <col min="3331" max="3331" width="25.7109375" style="78" customWidth="1"/>
    <col min="3332" max="3332" width="14.5703125" style="78" customWidth="1"/>
    <col min="3333" max="3333" width="19.42578125" style="78" customWidth="1"/>
    <col min="3334" max="3334" width="20" style="78" customWidth="1"/>
    <col min="3335" max="3335" width="25.7109375" style="78" bestFit="1" customWidth="1"/>
    <col min="3336" max="3584" width="9.140625" style="78"/>
    <col min="3585" max="3585" width="17.28515625" style="78" customWidth="1"/>
    <col min="3586" max="3586" width="26.42578125" style="78" customWidth="1"/>
    <col min="3587" max="3587" width="25.7109375" style="78" customWidth="1"/>
    <col min="3588" max="3588" width="14.5703125" style="78" customWidth="1"/>
    <col min="3589" max="3589" width="19.42578125" style="78" customWidth="1"/>
    <col min="3590" max="3590" width="20" style="78" customWidth="1"/>
    <col min="3591" max="3591" width="25.7109375" style="78" bestFit="1" customWidth="1"/>
    <col min="3592" max="3840" width="9.140625" style="78"/>
    <col min="3841" max="3841" width="17.28515625" style="78" customWidth="1"/>
    <col min="3842" max="3842" width="26.42578125" style="78" customWidth="1"/>
    <col min="3843" max="3843" width="25.7109375" style="78" customWidth="1"/>
    <col min="3844" max="3844" width="14.5703125" style="78" customWidth="1"/>
    <col min="3845" max="3845" width="19.42578125" style="78" customWidth="1"/>
    <col min="3846" max="3846" width="20" style="78" customWidth="1"/>
    <col min="3847" max="3847" width="25.7109375" style="78" bestFit="1" customWidth="1"/>
    <col min="3848" max="4096" width="9.140625" style="78"/>
    <col min="4097" max="4097" width="17.28515625" style="78" customWidth="1"/>
    <col min="4098" max="4098" width="26.42578125" style="78" customWidth="1"/>
    <col min="4099" max="4099" width="25.7109375" style="78" customWidth="1"/>
    <col min="4100" max="4100" width="14.5703125" style="78" customWidth="1"/>
    <col min="4101" max="4101" width="19.42578125" style="78" customWidth="1"/>
    <col min="4102" max="4102" width="20" style="78" customWidth="1"/>
    <col min="4103" max="4103" width="25.7109375" style="78" bestFit="1" customWidth="1"/>
    <col min="4104" max="4352" width="9.140625" style="78"/>
    <col min="4353" max="4353" width="17.28515625" style="78" customWidth="1"/>
    <col min="4354" max="4354" width="26.42578125" style="78" customWidth="1"/>
    <col min="4355" max="4355" width="25.7109375" style="78" customWidth="1"/>
    <col min="4356" max="4356" width="14.5703125" style="78" customWidth="1"/>
    <col min="4357" max="4357" width="19.42578125" style="78" customWidth="1"/>
    <col min="4358" max="4358" width="20" style="78" customWidth="1"/>
    <col min="4359" max="4359" width="25.7109375" style="78" bestFit="1" customWidth="1"/>
    <col min="4360" max="4608" width="9.140625" style="78"/>
    <col min="4609" max="4609" width="17.28515625" style="78" customWidth="1"/>
    <col min="4610" max="4610" width="26.42578125" style="78" customWidth="1"/>
    <col min="4611" max="4611" width="25.7109375" style="78" customWidth="1"/>
    <col min="4612" max="4612" width="14.5703125" style="78" customWidth="1"/>
    <col min="4613" max="4613" width="19.42578125" style="78" customWidth="1"/>
    <col min="4614" max="4614" width="20" style="78" customWidth="1"/>
    <col min="4615" max="4615" width="25.7109375" style="78" bestFit="1" customWidth="1"/>
    <col min="4616" max="4864" width="9.140625" style="78"/>
    <col min="4865" max="4865" width="17.28515625" style="78" customWidth="1"/>
    <col min="4866" max="4866" width="26.42578125" style="78" customWidth="1"/>
    <col min="4867" max="4867" width="25.7109375" style="78" customWidth="1"/>
    <col min="4868" max="4868" width="14.5703125" style="78" customWidth="1"/>
    <col min="4869" max="4869" width="19.42578125" style="78" customWidth="1"/>
    <col min="4870" max="4870" width="20" style="78" customWidth="1"/>
    <col min="4871" max="4871" width="25.7109375" style="78" bestFit="1" customWidth="1"/>
    <col min="4872" max="5120" width="9.140625" style="78"/>
    <col min="5121" max="5121" width="17.28515625" style="78" customWidth="1"/>
    <col min="5122" max="5122" width="26.42578125" style="78" customWidth="1"/>
    <col min="5123" max="5123" width="25.7109375" style="78" customWidth="1"/>
    <col min="5124" max="5124" width="14.5703125" style="78" customWidth="1"/>
    <col min="5125" max="5125" width="19.42578125" style="78" customWidth="1"/>
    <col min="5126" max="5126" width="20" style="78" customWidth="1"/>
    <col min="5127" max="5127" width="25.7109375" style="78" bestFit="1" customWidth="1"/>
    <col min="5128" max="5376" width="9.140625" style="78"/>
    <col min="5377" max="5377" width="17.28515625" style="78" customWidth="1"/>
    <col min="5378" max="5378" width="26.42578125" style="78" customWidth="1"/>
    <col min="5379" max="5379" width="25.7109375" style="78" customWidth="1"/>
    <col min="5380" max="5380" width="14.5703125" style="78" customWidth="1"/>
    <col min="5381" max="5381" width="19.42578125" style="78" customWidth="1"/>
    <col min="5382" max="5382" width="20" style="78" customWidth="1"/>
    <col min="5383" max="5383" width="25.7109375" style="78" bestFit="1" customWidth="1"/>
    <col min="5384" max="5632" width="9.140625" style="78"/>
    <col min="5633" max="5633" width="17.28515625" style="78" customWidth="1"/>
    <col min="5634" max="5634" width="26.42578125" style="78" customWidth="1"/>
    <col min="5635" max="5635" width="25.7109375" style="78" customWidth="1"/>
    <col min="5636" max="5636" width="14.5703125" style="78" customWidth="1"/>
    <col min="5637" max="5637" width="19.42578125" style="78" customWidth="1"/>
    <col min="5638" max="5638" width="20" style="78" customWidth="1"/>
    <col min="5639" max="5639" width="25.7109375" style="78" bestFit="1" customWidth="1"/>
    <col min="5640" max="5888" width="9.140625" style="78"/>
    <col min="5889" max="5889" width="17.28515625" style="78" customWidth="1"/>
    <col min="5890" max="5890" width="26.42578125" style="78" customWidth="1"/>
    <col min="5891" max="5891" width="25.7109375" style="78" customWidth="1"/>
    <col min="5892" max="5892" width="14.5703125" style="78" customWidth="1"/>
    <col min="5893" max="5893" width="19.42578125" style="78" customWidth="1"/>
    <col min="5894" max="5894" width="20" style="78" customWidth="1"/>
    <col min="5895" max="5895" width="25.7109375" style="78" bestFit="1" customWidth="1"/>
    <col min="5896" max="6144" width="9.140625" style="78"/>
    <col min="6145" max="6145" width="17.28515625" style="78" customWidth="1"/>
    <col min="6146" max="6146" width="26.42578125" style="78" customWidth="1"/>
    <col min="6147" max="6147" width="25.7109375" style="78" customWidth="1"/>
    <col min="6148" max="6148" width="14.5703125" style="78" customWidth="1"/>
    <col min="6149" max="6149" width="19.42578125" style="78" customWidth="1"/>
    <col min="6150" max="6150" width="20" style="78" customWidth="1"/>
    <col min="6151" max="6151" width="25.7109375" style="78" bestFit="1" customWidth="1"/>
    <col min="6152" max="6400" width="9.140625" style="78"/>
    <col min="6401" max="6401" width="17.28515625" style="78" customWidth="1"/>
    <col min="6402" max="6402" width="26.42578125" style="78" customWidth="1"/>
    <col min="6403" max="6403" width="25.7109375" style="78" customWidth="1"/>
    <col min="6404" max="6404" width="14.5703125" style="78" customWidth="1"/>
    <col min="6405" max="6405" width="19.42578125" style="78" customWidth="1"/>
    <col min="6406" max="6406" width="20" style="78" customWidth="1"/>
    <col min="6407" max="6407" width="25.7109375" style="78" bestFit="1" customWidth="1"/>
    <col min="6408" max="6656" width="9.140625" style="78"/>
    <col min="6657" max="6657" width="17.28515625" style="78" customWidth="1"/>
    <col min="6658" max="6658" width="26.42578125" style="78" customWidth="1"/>
    <col min="6659" max="6659" width="25.7109375" style="78" customWidth="1"/>
    <col min="6660" max="6660" width="14.5703125" style="78" customWidth="1"/>
    <col min="6661" max="6661" width="19.42578125" style="78" customWidth="1"/>
    <col min="6662" max="6662" width="20" style="78" customWidth="1"/>
    <col min="6663" max="6663" width="25.7109375" style="78" bestFit="1" customWidth="1"/>
    <col min="6664" max="6912" width="9.140625" style="78"/>
    <col min="6913" max="6913" width="17.28515625" style="78" customWidth="1"/>
    <col min="6914" max="6914" width="26.42578125" style="78" customWidth="1"/>
    <col min="6915" max="6915" width="25.7109375" style="78" customWidth="1"/>
    <col min="6916" max="6916" width="14.5703125" style="78" customWidth="1"/>
    <col min="6917" max="6917" width="19.42578125" style="78" customWidth="1"/>
    <col min="6918" max="6918" width="20" style="78" customWidth="1"/>
    <col min="6919" max="6919" width="25.7109375" style="78" bestFit="1" customWidth="1"/>
    <col min="6920" max="7168" width="9.140625" style="78"/>
    <col min="7169" max="7169" width="17.28515625" style="78" customWidth="1"/>
    <col min="7170" max="7170" width="26.42578125" style="78" customWidth="1"/>
    <col min="7171" max="7171" width="25.7109375" style="78" customWidth="1"/>
    <col min="7172" max="7172" width="14.5703125" style="78" customWidth="1"/>
    <col min="7173" max="7173" width="19.42578125" style="78" customWidth="1"/>
    <col min="7174" max="7174" width="20" style="78" customWidth="1"/>
    <col min="7175" max="7175" width="25.7109375" style="78" bestFit="1" customWidth="1"/>
    <col min="7176" max="7424" width="9.140625" style="78"/>
    <col min="7425" max="7425" width="17.28515625" style="78" customWidth="1"/>
    <col min="7426" max="7426" width="26.42578125" style="78" customWidth="1"/>
    <col min="7427" max="7427" width="25.7109375" style="78" customWidth="1"/>
    <col min="7428" max="7428" width="14.5703125" style="78" customWidth="1"/>
    <col min="7429" max="7429" width="19.42578125" style="78" customWidth="1"/>
    <col min="7430" max="7430" width="20" style="78" customWidth="1"/>
    <col min="7431" max="7431" width="25.7109375" style="78" bestFit="1" customWidth="1"/>
    <col min="7432" max="7680" width="9.140625" style="78"/>
    <col min="7681" max="7681" width="17.28515625" style="78" customWidth="1"/>
    <col min="7682" max="7682" width="26.42578125" style="78" customWidth="1"/>
    <col min="7683" max="7683" width="25.7109375" style="78" customWidth="1"/>
    <col min="7684" max="7684" width="14.5703125" style="78" customWidth="1"/>
    <col min="7685" max="7685" width="19.42578125" style="78" customWidth="1"/>
    <col min="7686" max="7686" width="20" style="78" customWidth="1"/>
    <col min="7687" max="7687" width="25.7109375" style="78" bestFit="1" customWidth="1"/>
    <col min="7688" max="7936" width="9.140625" style="78"/>
    <col min="7937" max="7937" width="17.28515625" style="78" customWidth="1"/>
    <col min="7938" max="7938" width="26.42578125" style="78" customWidth="1"/>
    <col min="7939" max="7939" width="25.7109375" style="78" customWidth="1"/>
    <col min="7940" max="7940" width="14.5703125" style="78" customWidth="1"/>
    <col min="7941" max="7941" width="19.42578125" style="78" customWidth="1"/>
    <col min="7942" max="7942" width="20" style="78" customWidth="1"/>
    <col min="7943" max="7943" width="25.7109375" style="78" bestFit="1" customWidth="1"/>
    <col min="7944" max="8192" width="9.140625" style="78"/>
    <col min="8193" max="8193" width="17.28515625" style="78" customWidth="1"/>
    <col min="8194" max="8194" width="26.42578125" style="78" customWidth="1"/>
    <col min="8195" max="8195" width="25.7109375" style="78" customWidth="1"/>
    <col min="8196" max="8196" width="14.5703125" style="78" customWidth="1"/>
    <col min="8197" max="8197" width="19.42578125" style="78" customWidth="1"/>
    <col min="8198" max="8198" width="20" style="78" customWidth="1"/>
    <col min="8199" max="8199" width="25.7109375" style="78" bestFit="1" customWidth="1"/>
    <col min="8200" max="8448" width="9.140625" style="78"/>
    <col min="8449" max="8449" width="17.28515625" style="78" customWidth="1"/>
    <col min="8450" max="8450" width="26.42578125" style="78" customWidth="1"/>
    <col min="8451" max="8451" width="25.7109375" style="78" customWidth="1"/>
    <col min="8452" max="8452" width="14.5703125" style="78" customWidth="1"/>
    <col min="8453" max="8453" width="19.42578125" style="78" customWidth="1"/>
    <col min="8454" max="8454" width="20" style="78" customWidth="1"/>
    <col min="8455" max="8455" width="25.7109375" style="78" bestFit="1" customWidth="1"/>
    <col min="8456" max="8704" width="9.140625" style="78"/>
    <col min="8705" max="8705" width="17.28515625" style="78" customWidth="1"/>
    <col min="8706" max="8706" width="26.42578125" style="78" customWidth="1"/>
    <col min="8707" max="8707" width="25.7109375" style="78" customWidth="1"/>
    <col min="8708" max="8708" width="14.5703125" style="78" customWidth="1"/>
    <col min="8709" max="8709" width="19.42578125" style="78" customWidth="1"/>
    <col min="8710" max="8710" width="20" style="78" customWidth="1"/>
    <col min="8711" max="8711" width="25.7109375" style="78" bestFit="1" customWidth="1"/>
    <col min="8712" max="8960" width="9.140625" style="78"/>
    <col min="8961" max="8961" width="17.28515625" style="78" customWidth="1"/>
    <col min="8962" max="8962" width="26.42578125" style="78" customWidth="1"/>
    <col min="8963" max="8963" width="25.7109375" style="78" customWidth="1"/>
    <col min="8964" max="8964" width="14.5703125" style="78" customWidth="1"/>
    <col min="8965" max="8965" width="19.42578125" style="78" customWidth="1"/>
    <col min="8966" max="8966" width="20" style="78" customWidth="1"/>
    <col min="8967" max="8967" width="25.7109375" style="78" bestFit="1" customWidth="1"/>
    <col min="8968" max="9216" width="9.140625" style="78"/>
    <col min="9217" max="9217" width="17.28515625" style="78" customWidth="1"/>
    <col min="9218" max="9218" width="26.42578125" style="78" customWidth="1"/>
    <col min="9219" max="9219" width="25.7109375" style="78" customWidth="1"/>
    <col min="9220" max="9220" width="14.5703125" style="78" customWidth="1"/>
    <col min="9221" max="9221" width="19.42578125" style="78" customWidth="1"/>
    <col min="9222" max="9222" width="20" style="78" customWidth="1"/>
    <col min="9223" max="9223" width="25.7109375" style="78" bestFit="1" customWidth="1"/>
    <col min="9224" max="9472" width="9.140625" style="78"/>
    <col min="9473" max="9473" width="17.28515625" style="78" customWidth="1"/>
    <col min="9474" max="9474" width="26.42578125" style="78" customWidth="1"/>
    <col min="9475" max="9475" width="25.7109375" style="78" customWidth="1"/>
    <col min="9476" max="9476" width="14.5703125" style="78" customWidth="1"/>
    <col min="9477" max="9477" width="19.42578125" style="78" customWidth="1"/>
    <col min="9478" max="9478" width="20" style="78" customWidth="1"/>
    <col min="9479" max="9479" width="25.7109375" style="78" bestFit="1" customWidth="1"/>
    <col min="9480" max="9728" width="9.140625" style="78"/>
    <col min="9729" max="9729" width="17.28515625" style="78" customWidth="1"/>
    <col min="9730" max="9730" width="26.42578125" style="78" customWidth="1"/>
    <col min="9731" max="9731" width="25.7109375" style="78" customWidth="1"/>
    <col min="9732" max="9732" width="14.5703125" style="78" customWidth="1"/>
    <col min="9733" max="9733" width="19.42578125" style="78" customWidth="1"/>
    <col min="9734" max="9734" width="20" style="78" customWidth="1"/>
    <col min="9735" max="9735" width="25.7109375" style="78" bestFit="1" customWidth="1"/>
    <col min="9736" max="9984" width="9.140625" style="78"/>
    <col min="9985" max="9985" width="17.28515625" style="78" customWidth="1"/>
    <col min="9986" max="9986" width="26.42578125" style="78" customWidth="1"/>
    <col min="9987" max="9987" width="25.7109375" style="78" customWidth="1"/>
    <col min="9988" max="9988" width="14.5703125" style="78" customWidth="1"/>
    <col min="9989" max="9989" width="19.42578125" style="78" customWidth="1"/>
    <col min="9990" max="9990" width="20" style="78" customWidth="1"/>
    <col min="9991" max="9991" width="25.7109375" style="78" bestFit="1" customWidth="1"/>
    <col min="9992" max="10240" width="9.140625" style="78"/>
    <col min="10241" max="10241" width="17.28515625" style="78" customWidth="1"/>
    <col min="10242" max="10242" width="26.42578125" style="78" customWidth="1"/>
    <col min="10243" max="10243" width="25.7109375" style="78" customWidth="1"/>
    <col min="10244" max="10244" width="14.5703125" style="78" customWidth="1"/>
    <col min="10245" max="10245" width="19.42578125" style="78" customWidth="1"/>
    <col min="10246" max="10246" width="20" style="78" customWidth="1"/>
    <col min="10247" max="10247" width="25.7109375" style="78" bestFit="1" customWidth="1"/>
    <col min="10248" max="10496" width="9.140625" style="78"/>
    <col min="10497" max="10497" width="17.28515625" style="78" customWidth="1"/>
    <col min="10498" max="10498" width="26.42578125" style="78" customWidth="1"/>
    <col min="10499" max="10499" width="25.7109375" style="78" customWidth="1"/>
    <col min="10500" max="10500" width="14.5703125" style="78" customWidth="1"/>
    <col min="10501" max="10501" width="19.42578125" style="78" customWidth="1"/>
    <col min="10502" max="10502" width="20" style="78" customWidth="1"/>
    <col min="10503" max="10503" width="25.7109375" style="78" bestFit="1" customWidth="1"/>
    <col min="10504" max="10752" width="9.140625" style="78"/>
    <col min="10753" max="10753" width="17.28515625" style="78" customWidth="1"/>
    <col min="10754" max="10754" width="26.42578125" style="78" customWidth="1"/>
    <col min="10755" max="10755" width="25.7109375" style="78" customWidth="1"/>
    <col min="10756" max="10756" width="14.5703125" style="78" customWidth="1"/>
    <col min="10757" max="10757" width="19.42578125" style="78" customWidth="1"/>
    <col min="10758" max="10758" width="20" style="78" customWidth="1"/>
    <col min="10759" max="10759" width="25.7109375" style="78" bestFit="1" customWidth="1"/>
    <col min="10760" max="11008" width="9.140625" style="78"/>
    <col min="11009" max="11009" width="17.28515625" style="78" customWidth="1"/>
    <col min="11010" max="11010" width="26.42578125" style="78" customWidth="1"/>
    <col min="11011" max="11011" width="25.7109375" style="78" customWidth="1"/>
    <col min="11012" max="11012" width="14.5703125" style="78" customWidth="1"/>
    <col min="11013" max="11013" width="19.42578125" style="78" customWidth="1"/>
    <col min="11014" max="11014" width="20" style="78" customWidth="1"/>
    <col min="11015" max="11015" width="25.7109375" style="78" bestFit="1" customWidth="1"/>
    <col min="11016" max="11264" width="9.140625" style="78"/>
    <col min="11265" max="11265" width="17.28515625" style="78" customWidth="1"/>
    <col min="11266" max="11266" width="26.42578125" style="78" customWidth="1"/>
    <col min="11267" max="11267" width="25.7109375" style="78" customWidth="1"/>
    <col min="11268" max="11268" width="14.5703125" style="78" customWidth="1"/>
    <col min="11269" max="11269" width="19.42578125" style="78" customWidth="1"/>
    <col min="11270" max="11270" width="20" style="78" customWidth="1"/>
    <col min="11271" max="11271" width="25.7109375" style="78" bestFit="1" customWidth="1"/>
    <col min="11272" max="11520" width="9.140625" style="78"/>
    <col min="11521" max="11521" width="17.28515625" style="78" customWidth="1"/>
    <col min="11522" max="11522" width="26.42578125" style="78" customWidth="1"/>
    <col min="11523" max="11523" width="25.7109375" style="78" customWidth="1"/>
    <col min="11524" max="11524" width="14.5703125" style="78" customWidth="1"/>
    <col min="11525" max="11525" width="19.42578125" style="78" customWidth="1"/>
    <col min="11526" max="11526" width="20" style="78" customWidth="1"/>
    <col min="11527" max="11527" width="25.7109375" style="78" bestFit="1" customWidth="1"/>
    <col min="11528" max="11776" width="9.140625" style="78"/>
    <col min="11777" max="11777" width="17.28515625" style="78" customWidth="1"/>
    <col min="11778" max="11778" width="26.42578125" style="78" customWidth="1"/>
    <col min="11779" max="11779" width="25.7109375" style="78" customWidth="1"/>
    <col min="11780" max="11780" width="14.5703125" style="78" customWidth="1"/>
    <col min="11781" max="11781" width="19.42578125" style="78" customWidth="1"/>
    <col min="11782" max="11782" width="20" style="78" customWidth="1"/>
    <col min="11783" max="11783" width="25.7109375" style="78" bestFit="1" customWidth="1"/>
    <col min="11784" max="12032" width="9.140625" style="78"/>
    <col min="12033" max="12033" width="17.28515625" style="78" customWidth="1"/>
    <col min="12034" max="12034" width="26.42578125" style="78" customWidth="1"/>
    <col min="12035" max="12035" width="25.7109375" style="78" customWidth="1"/>
    <col min="12036" max="12036" width="14.5703125" style="78" customWidth="1"/>
    <col min="12037" max="12037" width="19.42578125" style="78" customWidth="1"/>
    <col min="12038" max="12038" width="20" style="78" customWidth="1"/>
    <col min="12039" max="12039" width="25.7109375" style="78" bestFit="1" customWidth="1"/>
    <col min="12040" max="12288" width="9.140625" style="78"/>
    <col min="12289" max="12289" width="17.28515625" style="78" customWidth="1"/>
    <col min="12290" max="12290" width="26.42578125" style="78" customWidth="1"/>
    <col min="12291" max="12291" width="25.7109375" style="78" customWidth="1"/>
    <col min="12292" max="12292" width="14.5703125" style="78" customWidth="1"/>
    <col min="12293" max="12293" width="19.42578125" style="78" customWidth="1"/>
    <col min="12294" max="12294" width="20" style="78" customWidth="1"/>
    <col min="12295" max="12295" width="25.7109375" style="78" bestFit="1" customWidth="1"/>
    <col min="12296" max="12544" width="9.140625" style="78"/>
    <col min="12545" max="12545" width="17.28515625" style="78" customWidth="1"/>
    <col min="12546" max="12546" width="26.42578125" style="78" customWidth="1"/>
    <col min="12547" max="12547" width="25.7109375" style="78" customWidth="1"/>
    <col min="12548" max="12548" width="14.5703125" style="78" customWidth="1"/>
    <col min="12549" max="12549" width="19.42578125" style="78" customWidth="1"/>
    <col min="12550" max="12550" width="20" style="78" customWidth="1"/>
    <col min="12551" max="12551" width="25.7109375" style="78" bestFit="1" customWidth="1"/>
    <col min="12552" max="12800" width="9.140625" style="78"/>
    <col min="12801" max="12801" width="17.28515625" style="78" customWidth="1"/>
    <col min="12802" max="12802" width="26.42578125" style="78" customWidth="1"/>
    <col min="12803" max="12803" width="25.7109375" style="78" customWidth="1"/>
    <col min="12804" max="12804" width="14.5703125" style="78" customWidth="1"/>
    <col min="12805" max="12805" width="19.42578125" style="78" customWidth="1"/>
    <col min="12806" max="12806" width="20" style="78" customWidth="1"/>
    <col min="12807" max="12807" width="25.7109375" style="78" bestFit="1" customWidth="1"/>
    <col min="12808" max="13056" width="9.140625" style="78"/>
    <col min="13057" max="13057" width="17.28515625" style="78" customWidth="1"/>
    <col min="13058" max="13058" width="26.42578125" style="78" customWidth="1"/>
    <col min="13059" max="13059" width="25.7109375" style="78" customWidth="1"/>
    <col min="13060" max="13060" width="14.5703125" style="78" customWidth="1"/>
    <col min="13061" max="13061" width="19.42578125" style="78" customWidth="1"/>
    <col min="13062" max="13062" width="20" style="78" customWidth="1"/>
    <col min="13063" max="13063" width="25.7109375" style="78" bestFit="1" customWidth="1"/>
    <col min="13064" max="13312" width="9.140625" style="78"/>
    <col min="13313" max="13313" width="17.28515625" style="78" customWidth="1"/>
    <col min="13314" max="13314" width="26.42578125" style="78" customWidth="1"/>
    <col min="13315" max="13315" width="25.7109375" style="78" customWidth="1"/>
    <col min="13316" max="13316" width="14.5703125" style="78" customWidth="1"/>
    <col min="13317" max="13317" width="19.42578125" style="78" customWidth="1"/>
    <col min="13318" max="13318" width="20" style="78" customWidth="1"/>
    <col min="13319" max="13319" width="25.7109375" style="78" bestFit="1" customWidth="1"/>
    <col min="13320" max="13568" width="9.140625" style="78"/>
    <col min="13569" max="13569" width="17.28515625" style="78" customWidth="1"/>
    <col min="13570" max="13570" width="26.42578125" style="78" customWidth="1"/>
    <col min="13571" max="13571" width="25.7109375" style="78" customWidth="1"/>
    <col min="13572" max="13572" width="14.5703125" style="78" customWidth="1"/>
    <col min="13573" max="13573" width="19.42578125" style="78" customWidth="1"/>
    <col min="13574" max="13574" width="20" style="78" customWidth="1"/>
    <col min="13575" max="13575" width="25.7109375" style="78" bestFit="1" customWidth="1"/>
    <col min="13576" max="13824" width="9.140625" style="78"/>
    <col min="13825" max="13825" width="17.28515625" style="78" customWidth="1"/>
    <col min="13826" max="13826" width="26.42578125" style="78" customWidth="1"/>
    <col min="13827" max="13827" width="25.7109375" style="78" customWidth="1"/>
    <col min="13828" max="13828" width="14.5703125" style="78" customWidth="1"/>
    <col min="13829" max="13829" width="19.42578125" style="78" customWidth="1"/>
    <col min="13830" max="13830" width="20" style="78" customWidth="1"/>
    <col min="13831" max="13831" width="25.7109375" style="78" bestFit="1" customWidth="1"/>
    <col min="13832" max="14080" width="9.140625" style="78"/>
    <col min="14081" max="14081" width="17.28515625" style="78" customWidth="1"/>
    <col min="14082" max="14082" width="26.42578125" style="78" customWidth="1"/>
    <col min="14083" max="14083" width="25.7109375" style="78" customWidth="1"/>
    <col min="14084" max="14084" width="14.5703125" style="78" customWidth="1"/>
    <col min="14085" max="14085" width="19.42578125" style="78" customWidth="1"/>
    <col min="14086" max="14086" width="20" style="78" customWidth="1"/>
    <col min="14087" max="14087" width="25.7109375" style="78" bestFit="1" customWidth="1"/>
    <col min="14088" max="14336" width="9.140625" style="78"/>
    <col min="14337" max="14337" width="17.28515625" style="78" customWidth="1"/>
    <col min="14338" max="14338" width="26.42578125" style="78" customWidth="1"/>
    <col min="14339" max="14339" width="25.7109375" style="78" customWidth="1"/>
    <col min="14340" max="14340" width="14.5703125" style="78" customWidth="1"/>
    <col min="14341" max="14341" width="19.42578125" style="78" customWidth="1"/>
    <col min="14342" max="14342" width="20" style="78" customWidth="1"/>
    <col min="14343" max="14343" width="25.7109375" style="78" bestFit="1" customWidth="1"/>
    <col min="14344" max="14592" width="9.140625" style="78"/>
    <col min="14593" max="14593" width="17.28515625" style="78" customWidth="1"/>
    <col min="14594" max="14594" width="26.42578125" style="78" customWidth="1"/>
    <col min="14595" max="14595" width="25.7109375" style="78" customWidth="1"/>
    <col min="14596" max="14596" width="14.5703125" style="78" customWidth="1"/>
    <col min="14597" max="14597" width="19.42578125" style="78" customWidth="1"/>
    <col min="14598" max="14598" width="20" style="78" customWidth="1"/>
    <col min="14599" max="14599" width="25.7109375" style="78" bestFit="1" customWidth="1"/>
    <col min="14600" max="14848" width="9.140625" style="78"/>
    <col min="14849" max="14849" width="17.28515625" style="78" customWidth="1"/>
    <col min="14850" max="14850" width="26.42578125" style="78" customWidth="1"/>
    <col min="14851" max="14851" width="25.7109375" style="78" customWidth="1"/>
    <col min="14852" max="14852" width="14.5703125" style="78" customWidth="1"/>
    <col min="14853" max="14853" width="19.42578125" style="78" customWidth="1"/>
    <col min="14854" max="14854" width="20" style="78" customWidth="1"/>
    <col min="14855" max="14855" width="25.7109375" style="78" bestFit="1" customWidth="1"/>
    <col min="14856" max="15104" width="9.140625" style="78"/>
    <col min="15105" max="15105" width="17.28515625" style="78" customWidth="1"/>
    <col min="15106" max="15106" width="26.42578125" style="78" customWidth="1"/>
    <col min="15107" max="15107" width="25.7109375" style="78" customWidth="1"/>
    <col min="15108" max="15108" width="14.5703125" style="78" customWidth="1"/>
    <col min="15109" max="15109" width="19.42578125" style="78" customWidth="1"/>
    <col min="15110" max="15110" width="20" style="78" customWidth="1"/>
    <col min="15111" max="15111" width="25.7109375" style="78" bestFit="1" customWidth="1"/>
    <col min="15112" max="15360" width="9.140625" style="78"/>
    <col min="15361" max="15361" width="17.28515625" style="78" customWidth="1"/>
    <col min="15362" max="15362" width="26.42578125" style="78" customWidth="1"/>
    <col min="15363" max="15363" width="25.7109375" style="78" customWidth="1"/>
    <col min="15364" max="15364" width="14.5703125" style="78" customWidth="1"/>
    <col min="15365" max="15365" width="19.42578125" style="78" customWidth="1"/>
    <col min="15366" max="15366" width="20" style="78" customWidth="1"/>
    <col min="15367" max="15367" width="25.7109375" style="78" bestFit="1" customWidth="1"/>
    <col min="15368" max="15616" width="9.140625" style="78"/>
    <col min="15617" max="15617" width="17.28515625" style="78" customWidth="1"/>
    <col min="15618" max="15618" width="26.42578125" style="78" customWidth="1"/>
    <col min="15619" max="15619" width="25.7109375" style="78" customWidth="1"/>
    <col min="15620" max="15620" width="14.5703125" style="78" customWidth="1"/>
    <col min="15621" max="15621" width="19.42578125" style="78" customWidth="1"/>
    <col min="15622" max="15622" width="20" style="78" customWidth="1"/>
    <col min="15623" max="15623" width="25.7109375" style="78" bestFit="1" customWidth="1"/>
    <col min="15624" max="15872" width="9.140625" style="78"/>
    <col min="15873" max="15873" width="17.28515625" style="78" customWidth="1"/>
    <col min="15874" max="15874" width="26.42578125" style="78" customWidth="1"/>
    <col min="15875" max="15875" width="25.7109375" style="78" customWidth="1"/>
    <col min="15876" max="15876" width="14.5703125" style="78" customWidth="1"/>
    <col min="15877" max="15877" width="19.42578125" style="78" customWidth="1"/>
    <col min="15878" max="15878" width="20" style="78" customWidth="1"/>
    <col min="15879" max="15879" width="25.7109375" style="78" bestFit="1" customWidth="1"/>
    <col min="15880" max="16128" width="9.140625" style="78"/>
    <col min="16129" max="16129" width="17.28515625" style="78" customWidth="1"/>
    <col min="16130" max="16130" width="26.42578125" style="78" customWidth="1"/>
    <col min="16131" max="16131" width="25.7109375" style="78" customWidth="1"/>
    <col min="16132" max="16132" width="14.5703125" style="78" customWidth="1"/>
    <col min="16133" max="16133" width="19.42578125" style="78" customWidth="1"/>
    <col min="16134" max="16134" width="20" style="78" customWidth="1"/>
    <col min="16135" max="16135" width="25.7109375" style="78" bestFit="1" customWidth="1"/>
    <col min="16136" max="16384" width="9.140625" style="78"/>
  </cols>
  <sheetData>
    <row r="1" spans="1:7">
      <c r="A1" s="86" t="str">
        <f>'Paids --yr end'!A1</f>
        <v>NTA - 1/1/2013</v>
      </c>
    </row>
    <row r="2" spans="1:7">
      <c r="A2" s="86" t="s">
        <v>302</v>
      </c>
      <c r="C2" s="80">
        <f>'Paids --yr end'!C2</f>
        <v>2013</v>
      </c>
      <c r="E2" s="115" t="s">
        <v>156</v>
      </c>
    </row>
    <row r="3" spans="1:7">
      <c r="A3" s="86" t="str">
        <f>'Paids --yr end'!A3</f>
        <v>Line of Business (Annual Statement Lines)</v>
      </c>
    </row>
    <row r="4" spans="1:7">
      <c r="A4" s="86" t="str">
        <f>Premiums!A4</f>
        <v>STATE NATIONAL INSURANCE COMPANY</v>
      </c>
    </row>
    <row r="6" spans="1:7">
      <c r="A6" s="86" t="s">
        <v>282</v>
      </c>
      <c r="B6" s="86"/>
      <c r="C6" s="80"/>
    </row>
    <row r="7" spans="1:7" hidden="1">
      <c r="B7" s="80"/>
      <c r="C7" s="80" t="s">
        <v>303</v>
      </c>
      <c r="D7" s="80"/>
      <c r="E7" s="80" t="s">
        <v>304</v>
      </c>
      <c r="F7" s="80" t="s">
        <v>304</v>
      </c>
      <c r="G7" s="80" t="s">
        <v>303</v>
      </c>
    </row>
    <row r="8" spans="1:7" hidden="1">
      <c r="A8" s="86">
        <v>2018</v>
      </c>
      <c r="B8" s="80" t="s">
        <v>283</v>
      </c>
      <c r="C8" s="80" t="str">
        <f>C18</f>
        <v>at 11-30-2011</v>
      </c>
      <c r="D8" s="80" t="s">
        <v>304</v>
      </c>
      <c r="E8" s="80" t="s">
        <v>305</v>
      </c>
      <c r="F8" s="80" t="s">
        <v>305</v>
      </c>
      <c r="G8" s="80" t="str">
        <f>G18</f>
        <v>at 11-30-2012</v>
      </c>
    </row>
    <row r="9" spans="1:7" hidden="1">
      <c r="B9" s="80" t="s">
        <v>287</v>
      </c>
      <c r="C9" s="80" t="s">
        <v>306</v>
      </c>
      <c r="D9" s="80" t="s">
        <v>307</v>
      </c>
      <c r="E9" s="80" t="s">
        <v>308</v>
      </c>
      <c r="F9" s="80" t="s">
        <v>309</v>
      </c>
      <c r="G9" s="80" t="s">
        <v>310</v>
      </c>
    </row>
    <row r="10" spans="1:7" hidden="1">
      <c r="B10" s="80"/>
      <c r="C10" s="80"/>
      <c r="D10" s="80"/>
      <c r="E10" s="80"/>
      <c r="F10" s="80"/>
      <c r="G10" s="80"/>
    </row>
    <row r="11" spans="1:7" hidden="1">
      <c r="A11" s="80">
        <f>Premiums!$B$7</f>
        <v>19.3</v>
      </c>
      <c r="B11" s="116">
        <f>A8</f>
        <v>2018</v>
      </c>
      <c r="C11" s="131">
        <v>0</v>
      </c>
      <c r="D11" s="131">
        <v>0</v>
      </c>
      <c r="E11" s="131">
        <v>0</v>
      </c>
      <c r="F11" s="131">
        <v>0</v>
      </c>
      <c r="G11" s="132">
        <f t="shared" ref="G11:G13" si="0">SUM(C11+D11)-SUM(E11+F11)</f>
        <v>0</v>
      </c>
    </row>
    <row r="12" spans="1:7" hidden="1">
      <c r="A12" s="80">
        <f>Premiums!$C$7</f>
        <v>19.399999999999999</v>
      </c>
      <c r="B12" s="116">
        <f t="shared" ref="B12:B13" si="1">B11</f>
        <v>2018</v>
      </c>
      <c r="C12" s="131">
        <v>0</v>
      </c>
      <c r="D12" s="131">
        <v>0</v>
      </c>
      <c r="E12" s="131">
        <v>0</v>
      </c>
      <c r="F12" s="131">
        <v>0</v>
      </c>
      <c r="G12" s="132">
        <f t="shared" si="0"/>
        <v>0</v>
      </c>
    </row>
    <row r="13" spans="1:7" hidden="1">
      <c r="A13" s="80">
        <f>Premiums!$D$7</f>
        <v>21.2</v>
      </c>
      <c r="B13" s="116">
        <f t="shared" si="1"/>
        <v>2018</v>
      </c>
      <c r="C13" s="131">
        <v>0</v>
      </c>
      <c r="D13" s="131">
        <v>0</v>
      </c>
      <c r="E13" s="131">
        <v>0</v>
      </c>
      <c r="F13" s="131">
        <v>0</v>
      </c>
      <c r="G13" s="132">
        <f t="shared" si="0"/>
        <v>0</v>
      </c>
    </row>
    <row r="14" spans="1:7" hidden="1">
      <c r="A14" s="80"/>
      <c r="B14" s="80"/>
      <c r="C14" s="132"/>
      <c r="D14" s="132"/>
      <c r="E14" s="132"/>
      <c r="F14" s="132"/>
      <c r="G14" s="132"/>
    </row>
    <row r="15" spans="1:7" hidden="1">
      <c r="A15" s="80"/>
      <c r="B15" s="80" t="s">
        <v>271</v>
      </c>
      <c r="C15" s="118">
        <f>SUM(C11:C13)</f>
        <v>0</v>
      </c>
      <c r="D15" s="118">
        <f>SUM(D11:D13)</f>
        <v>0</v>
      </c>
      <c r="E15" s="118">
        <f>SUM(E11:E13)</f>
        <v>0</v>
      </c>
      <c r="F15" s="118">
        <f>SUM(F11:F13)</f>
        <v>0</v>
      </c>
      <c r="G15" s="132">
        <f>SUM(G11:G13)</f>
        <v>0</v>
      </c>
    </row>
    <row r="16" spans="1:7" hidden="1">
      <c r="A16" s="80"/>
      <c r="B16" s="80"/>
      <c r="C16" s="80"/>
      <c r="D16" s="80"/>
      <c r="E16" s="80"/>
      <c r="F16" s="80"/>
      <c r="G16" s="80"/>
    </row>
    <row r="17" spans="1:7" hidden="1">
      <c r="B17" s="80"/>
      <c r="C17" s="80" t="s">
        <v>303</v>
      </c>
      <c r="D17" s="80"/>
      <c r="E17" s="80" t="s">
        <v>304</v>
      </c>
      <c r="F17" s="80" t="s">
        <v>304</v>
      </c>
      <c r="G17" s="80" t="s">
        <v>303</v>
      </c>
    </row>
    <row r="18" spans="1:7" hidden="1">
      <c r="A18" s="86">
        <v>2017</v>
      </c>
      <c r="B18" s="80" t="s">
        <v>283</v>
      </c>
      <c r="C18" s="80" t="str">
        <f>C28</f>
        <v>at 11-30-2011</v>
      </c>
      <c r="D18" s="80" t="s">
        <v>304</v>
      </c>
      <c r="E18" s="80" t="s">
        <v>305</v>
      </c>
      <c r="F18" s="80" t="s">
        <v>305</v>
      </c>
      <c r="G18" s="80" t="str">
        <f>G28</f>
        <v>at 11-30-2012</v>
      </c>
    </row>
    <row r="19" spans="1:7" hidden="1">
      <c r="B19" s="80" t="s">
        <v>287</v>
      </c>
      <c r="C19" s="80" t="s">
        <v>306</v>
      </c>
      <c r="D19" s="80" t="s">
        <v>307</v>
      </c>
      <c r="E19" s="80" t="s">
        <v>308</v>
      </c>
      <c r="F19" s="80" t="s">
        <v>309</v>
      </c>
      <c r="G19" s="80" t="s">
        <v>310</v>
      </c>
    </row>
    <row r="20" spans="1:7" hidden="1">
      <c r="B20" s="80"/>
      <c r="C20" s="80"/>
      <c r="D20" s="80"/>
      <c r="E20" s="80"/>
      <c r="F20" s="80"/>
      <c r="G20" s="80"/>
    </row>
    <row r="21" spans="1:7" hidden="1">
      <c r="A21" s="80">
        <f>Premiums!$B$7</f>
        <v>19.3</v>
      </c>
      <c r="B21" s="116">
        <f>A18</f>
        <v>2017</v>
      </c>
      <c r="C21" s="131">
        <v>0</v>
      </c>
      <c r="D21" s="131">
        <v>0</v>
      </c>
      <c r="E21" s="131">
        <v>0</v>
      </c>
      <c r="F21" s="131">
        <v>0</v>
      </c>
      <c r="G21" s="132">
        <f t="shared" ref="G21:G23" si="2">SUM(C21+D21)-SUM(E21+F21)</f>
        <v>0</v>
      </c>
    </row>
    <row r="22" spans="1:7" hidden="1">
      <c r="A22" s="80">
        <f>Premiums!$C$7</f>
        <v>19.399999999999999</v>
      </c>
      <c r="B22" s="116">
        <f t="shared" ref="B22:B23" si="3">B21</f>
        <v>2017</v>
      </c>
      <c r="C22" s="131">
        <v>0</v>
      </c>
      <c r="D22" s="131">
        <v>0</v>
      </c>
      <c r="E22" s="131">
        <v>0</v>
      </c>
      <c r="F22" s="131">
        <v>0</v>
      </c>
      <c r="G22" s="132">
        <f t="shared" si="2"/>
        <v>0</v>
      </c>
    </row>
    <row r="23" spans="1:7" hidden="1">
      <c r="A23" s="80">
        <f>Premiums!$D$7</f>
        <v>21.2</v>
      </c>
      <c r="B23" s="116">
        <f t="shared" si="3"/>
        <v>2017</v>
      </c>
      <c r="C23" s="131">
        <v>0</v>
      </c>
      <c r="D23" s="131">
        <v>0</v>
      </c>
      <c r="E23" s="131">
        <v>0</v>
      </c>
      <c r="F23" s="131">
        <v>0</v>
      </c>
      <c r="G23" s="132">
        <f t="shared" si="2"/>
        <v>0</v>
      </c>
    </row>
    <row r="24" spans="1:7" hidden="1">
      <c r="A24" s="80"/>
      <c r="B24" s="80"/>
      <c r="C24" s="132"/>
      <c r="D24" s="132"/>
      <c r="E24" s="132"/>
      <c r="F24" s="132"/>
      <c r="G24" s="132"/>
    </row>
    <row r="25" spans="1:7" hidden="1">
      <c r="A25" s="80"/>
      <c r="B25" s="80" t="s">
        <v>271</v>
      </c>
      <c r="C25" s="118">
        <f>SUM(C21:C23)</f>
        <v>0</v>
      </c>
      <c r="D25" s="118">
        <f>SUM(D21:D23)</f>
        <v>0</v>
      </c>
      <c r="E25" s="118">
        <f>SUM(E21:E23)</f>
        <v>0</v>
      </c>
      <c r="F25" s="118">
        <f>SUM(F21:F23)</f>
        <v>0</v>
      </c>
      <c r="G25" s="132">
        <f>SUM(G21:G23)</f>
        <v>0</v>
      </c>
    </row>
    <row r="26" spans="1:7" hidden="1">
      <c r="A26" s="80"/>
      <c r="B26" s="80"/>
      <c r="C26" s="80"/>
      <c r="D26" s="80"/>
      <c r="E26" s="80"/>
      <c r="F26" s="80"/>
      <c r="G26" s="80"/>
    </row>
    <row r="27" spans="1:7" hidden="1">
      <c r="B27" s="80"/>
      <c r="C27" s="80" t="s">
        <v>303</v>
      </c>
      <c r="D27" s="80"/>
      <c r="E27" s="80" t="s">
        <v>304</v>
      </c>
      <c r="F27" s="80" t="s">
        <v>304</v>
      </c>
      <c r="G27" s="80" t="s">
        <v>303</v>
      </c>
    </row>
    <row r="28" spans="1:7" hidden="1">
      <c r="A28" s="86">
        <v>2016</v>
      </c>
      <c r="B28" s="80" t="s">
        <v>283</v>
      </c>
      <c r="C28" s="80" t="str">
        <f>C38</f>
        <v>at 11-30-2011</v>
      </c>
      <c r="D28" s="80" t="s">
        <v>304</v>
      </c>
      <c r="E28" s="80" t="s">
        <v>305</v>
      </c>
      <c r="F28" s="80" t="s">
        <v>305</v>
      </c>
      <c r="G28" s="80" t="str">
        <f>G38</f>
        <v>at 11-30-2012</v>
      </c>
    </row>
    <row r="29" spans="1:7" hidden="1">
      <c r="B29" s="80" t="s">
        <v>287</v>
      </c>
      <c r="C29" s="80" t="s">
        <v>306</v>
      </c>
      <c r="D29" s="80" t="s">
        <v>307</v>
      </c>
      <c r="E29" s="80" t="s">
        <v>308</v>
      </c>
      <c r="F29" s="80" t="s">
        <v>309</v>
      </c>
      <c r="G29" s="80" t="s">
        <v>310</v>
      </c>
    </row>
    <row r="30" spans="1:7" hidden="1">
      <c r="B30" s="80"/>
      <c r="C30" s="80"/>
      <c r="D30" s="80"/>
      <c r="E30" s="80"/>
      <c r="F30" s="80"/>
      <c r="G30" s="80"/>
    </row>
    <row r="31" spans="1:7" hidden="1">
      <c r="A31" s="80">
        <f>Premiums!$B$7</f>
        <v>19.3</v>
      </c>
      <c r="B31" s="116">
        <f>A28</f>
        <v>2016</v>
      </c>
      <c r="C31" s="131">
        <v>0</v>
      </c>
      <c r="D31" s="131">
        <v>0</v>
      </c>
      <c r="E31" s="131">
        <v>0</v>
      </c>
      <c r="F31" s="131">
        <v>0</v>
      </c>
      <c r="G31" s="132">
        <f t="shared" ref="G31:G33" si="4">SUM(C31+D31)-SUM(E31+F31)</f>
        <v>0</v>
      </c>
    </row>
    <row r="32" spans="1:7" hidden="1">
      <c r="A32" s="80">
        <f>Premiums!$C$7</f>
        <v>19.399999999999999</v>
      </c>
      <c r="B32" s="116">
        <f t="shared" ref="B32:B33" si="5">B31</f>
        <v>2016</v>
      </c>
      <c r="C32" s="131">
        <v>0</v>
      </c>
      <c r="D32" s="131">
        <v>0</v>
      </c>
      <c r="E32" s="131">
        <v>0</v>
      </c>
      <c r="F32" s="131">
        <v>0</v>
      </c>
      <c r="G32" s="132">
        <f t="shared" si="4"/>
        <v>0</v>
      </c>
    </row>
    <row r="33" spans="1:7" hidden="1">
      <c r="A33" s="80">
        <f>Premiums!$D$7</f>
        <v>21.2</v>
      </c>
      <c r="B33" s="116">
        <f t="shared" si="5"/>
        <v>2016</v>
      </c>
      <c r="C33" s="131">
        <v>0</v>
      </c>
      <c r="D33" s="131">
        <v>0</v>
      </c>
      <c r="E33" s="131">
        <v>0</v>
      </c>
      <c r="F33" s="131">
        <v>0</v>
      </c>
      <c r="G33" s="132">
        <f t="shared" si="4"/>
        <v>0</v>
      </c>
    </row>
    <row r="34" spans="1:7" hidden="1">
      <c r="C34" s="132"/>
      <c r="D34" s="132"/>
      <c r="E34" s="132"/>
      <c r="F34" s="132"/>
      <c r="G34" s="132"/>
    </row>
    <row r="35" spans="1:7" hidden="1">
      <c r="B35" s="80" t="s">
        <v>271</v>
      </c>
      <c r="C35" s="118">
        <f>SUM(C31:C33)</f>
        <v>0</v>
      </c>
      <c r="D35" s="118">
        <f>SUM(D31:D33)</f>
        <v>0</v>
      </c>
      <c r="E35" s="118">
        <f>SUM(E31:E33)</f>
        <v>0</v>
      </c>
      <c r="F35" s="118">
        <f>SUM(F31:F33)</f>
        <v>0</v>
      </c>
      <c r="G35" s="132">
        <f>SUM(G31:G33)</f>
        <v>0</v>
      </c>
    </row>
    <row r="36" spans="1:7" hidden="1">
      <c r="B36" s="80"/>
      <c r="C36" s="80"/>
      <c r="D36" s="80"/>
      <c r="E36" s="80"/>
      <c r="F36" s="80"/>
    </row>
    <row r="37" spans="1:7" hidden="1">
      <c r="B37" s="80"/>
      <c r="C37" s="80" t="s">
        <v>303</v>
      </c>
      <c r="D37" s="80"/>
      <c r="E37" s="80" t="s">
        <v>304</v>
      </c>
      <c r="F37" s="80" t="s">
        <v>304</v>
      </c>
      <c r="G37" s="80" t="s">
        <v>303</v>
      </c>
    </row>
    <row r="38" spans="1:7" hidden="1">
      <c r="A38" s="86">
        <v>2015</v>
      </c>
      <c r="B38" s="80" t="s">
        <v>283</v>
      </c>
      <c r="C38" s="80" t="str">
        <f>C48</f>
        <v>at 11-30-2011</v>
      </c>
      <c r="D38" s="80" t="s">
        <v>304</v>
      </c>
      <c r="E38" s="80" t="s">
        <v>305</v>
      </c>
      <c r="F38" s="80" t="s">
        <v>305</v>
      </c>
      <c r="G38" s="80" t="str">
        <f>G48</f>
        <v>at 11-30-2012</v>
      </c>
    </row>
    <row r="39" spans="1:7" hidden="1">
      <c r="B39" s="80" t="s">
        <v>287</v>
      </c>
      <c r="C39" s="80" t="s">
        <v>306</v>
      </c>
      <c r="D39" s="80" t="s">
        <v>307</v>
      </c>
      <c r="E39" s="80" t="s">
        <v>308</v>
      </c>
      <c r="F39" s="80" t="s">
        <v>309</v>
      </c>
      <c r="G39" s="80" t="s">
        <v>310</v>
      </c>
    </row>
    <row r="40" spans="1:7" hidden="1">
      <c r="A40" s="88"/>
      <c r="B40" s="80"/>
      <c r="C40" s="80"/>
      <c r="D40" s="80"/>
      <c r="E40" s="80"/>
      <c r="F40" s="80"/>
      <c r="G40" s="80"/>
    </row>
    <row r="41" spans="1:7" hidden="1">
      <c r="A41" s="80">
        <f>Premiums!$B$7</f>
        <v>19.3</v>
      </c>
      <c r="B41" s="116">
        <f>A38</f>
        <v>2015</v>
      </c>
      <c r="C41" s="131">
        <v>0</v>
      </c>
      <c r="D41" s="131">
        <v>0</v>
      </c>
      <c r="E41" s="131">
        <v>0</v>
      </c>
      <c r="F41" s="131">
        <v>0</v>
      </c>
      <c r="G41" s="132">
        <f t="shared" ref="G41:G43" si="6">SUM(C41+D41)-SUM(E41+F41)</f>
        <v>0</v>
      </c>
    </row>
    <row r="42" spans="1:7" hidden="1">
      <c r="A42" s="80">
        <f>Premiums!$C$7</f>
        <v>19.399999999999999</v>
      </c>
      <c r="B42" s="116">
        <f t="shared" ref="B42:B43" si="7">B41</f>
        <v>2015</v>
      </c>
      <c r="C42" s="131">
        <v>0</v>
      </c>
      <c r="D42" s="131">
        <v>0</v>
      </c>
      <c r="E42" s="131">
        <v>0</v>
      </c>
      <c r="F42" s="131">
        <v>0</v>
      </c>
      <c r="G42" s="132">
        <f t="shared" si="6"/>
        <v>0</v>
      </c>
    </row>
    <row r="43" spans="1:7" hidden="1">
      <c r="A43" s="80">
        <f>Premiums!$D$7</f>
        <v>21.2</v>
      </c>
      <c r="B43" s="116">
        <f t="shared" si="7"/>
        <v>2015</v>
      </c>
      <c r="C43" s="131">
        <v>0</v>
      </c>
      <c r="D43" s="131">
        <v>0</v>
      </c>
      <c r="E43" s="131">
        <v>0</v>
      </c>
      <c r="F43" s="131">
        <v>0</v>
      </c>
      <c r="G43" s="132">
        <f t="shared" si="6"/>
        <v>0</v>
      </c>
    </row>
    <row r="44" spans="1:7" hidden="1">
      <c r="C44" s="132"/>
      <c r="D44" s="132"/>
      <c r="E44" s="132"/>
      <c r="F44" s="132"/>
      <c r="G44" s="132"/>
    </row>
    <row r="45" spans="1:7" hidden="1">
      <c r="B45" s="80" t="s">
        <v>271</v>
      </c>
      <c r="C45" s="118">
        <f>SUM(C41:C43)</f>
        <v>0</v>
      </c>
      <c r="D45" s="118">
        <f>SUM(D41:D43)</f>
        <v>0</v>
      </c>
      <c r="E45" s="118">
        <f>SUM(E41:E43)</f>
        <v>0</v>
      </c>
      <c r="F45" s="118">
        <f>SUM(F41:F43)</f>
        <v>0</v>
      </c>
      <c r="G45" s="132">
        <f>SUM(G41:G43)</f>
        <v>0</v>
      </c>
    </row>
    <row r="46" spans="1:7" hidden="1"/>
    <row r="47" spans="1:7" hidden="1">
      <c r="B47" s="80"/>
      <c r="C47" s="80" t="s">
        <v>303</v>
      </c>
      <c r="D47" s="80"/>
      <c r="E47" s="80" t="s">
        <v>304</v>
      </c>
      <c r="F47" s="80" t="s">
        <v>304</v>
      </c>
      <c r="G47" s="80" t="s">
        <v>303</v>
      </c>
    </row>
    <row r="48" spans="1:7" hidden="1">
      <c r="A48" s="86">
        <v>2014</v>
      </c>
      <c r="B48" s="80" t="s">
        <v>283</v>
      </c>
      <c r="C48" s="80" t="str">
        <f>C58</f>
        <v>at 11-30-2011</v>
      </c>
      <c r="D48" s="80" t="s">
        <v>304</v>
      </c>
      <c r="E48" s="80" t="s">
        <v>305</v>
      </c>
      <c r="F48" s="80" t="s">
        <v>305</v>
      </c>
      <c r="G48" s="80" t="str">
        <f>G58</f>
        <v>at 11-30-2012</v>
      </c>
    </row>
    <row r="49" spans="1:7" hidden="1">
      <c r="B49" s="80" t="s">
        <v>287</v>
      </c>
      <c r="C49" s="80" t="s">
        <v>306</v>
      </c>
      <c r="D49" s="80" t="s">
        <v>307</v>
      </c>
      <c r="E49" s="80" t="s">
        <v>308</v>
      </c>
      <c r="F49" s="80" t="s">
        <v>309</v>
      </c>
      <c r="G49" s="80" t="s">
        <v>310</v>
      </c>
    </row>
    <row r="50" spans="1:7" hidden="1">
      <c r="B50" s="80"/>
      <c r="C50" s="80"/>
      <c r="D50" s="80"/>
      <c r="E50" s="80"/>
      <c r="F50" s="80"/>
      <c r="G50" s="80"/>
    </row>
    <row r="51" spans="1:7" ht="15" hidden="1" customHeight="1">
      <c r="A51" s="80">
        <f>Premiums!$B$7</f>
        <v>19.3</v>
      </c>
      <c r="B51" s="116">
        <f>A48</f>
        <v>2014</v>
      </c>
      <c r="C51" s="131">
        <v>0</v>
      </c>
      <c r="D51" s="131">
        <v>0</v>
      </c>
      <c r="E51" s="131">
        <v>0</v>
      </c>
      <c r="F51" s="131">
        <v>0</v>
      </c>
      <c r="G51" s="132">
        <f t="shared" ref="G51:G53" si="8">SUM(C51+D51)-SUM(E51+F51)</f>
        <v>0</v>
      </c>
    </row>
    <row r="52" spans="1:7" ht="15" hidden="1" customHeight="1">
      <c r="A52" s="80">
        <f>Premiums!$C$7</f>
        <v>19.399999999999999</v>
      </c>
      <c r="B52" s="116">
        <f t="shared" ref="B52:B53" si="9">B51</f>
        <v>2014</v>
      </c>
      <c r="C52" s="131">
        <v>0</v>
      </c>
      <c r="D52" s="131">
        <v>0</v>
      </c>
      <c r="E52" s="131">
        <v>0</v>
      </c>
      <c r="F52" s="131">
        <v>0</v>
      </c>
      <c r="G52" s="132">
        <f t="shared" si="8"/>
        <v>0</v>
      </c>
    </row>
    <row r="53" spans="1:7" ht="15" hidden="1" customHeight="1">
      <c r="A53" s="80">
        <f>Premiums!$D$7</f>
        <v>21.2</v>
      </c>
      <c r="B53" s="116">
        <f t="shared" si="9"/>
        <v>2014</v>
      </c>
      <c r="C53" s="131">
        <v>0</v>
      </c>
      <c r="D53" s="131">
        <v>0</v>
      </c>
      <c r="E53" s="131">
        <v>0</v>
      </c>
      <c r="F53" s="131">
        <v>0</v>
      </c>
      <c r="G53" s="132">
        <f t="shared" si="8"/>
        <v>0</v>
      </c>
    </row>
    <row r="54" spans="1:7" hidden="1">
      <c r="C54" s="132"/>
      <c r="D54" s="132"/>
      <c r="E54" s="132"/>
      <c r="F54" s="132"/>
      <c r="G54" s="132"/>
    </row>
    <row r="55" spans="1:7" hidden="1">
      <c r="B55" s="80" t="s">
        <v>271</v>
      </c>
      <c r="C55" s="118">
        <f>SUM(C51:C53)</f>
        <v>0</v>
      </c>
      <c r="D55" s="118">
        <f>SUM(D51:D53)</f>
        <v>0</v>
      </c>
      <c r="E55" s="118">
        <f>SUM(E51:E53)</f>
        <v>0</v>
      </c>
      <c r="F55" s="118">
        <f>SUM(F51:F53)</f>
        <v>0</v>
      </c>
      <c r="G55" s="132">
        <f>SUM(G51:G53)</f>
        <v>0</v>
      </c>
    </row>
    <row r="56" spans="1:7" hidden="1"/>
    <row r="57" spans="1:7" hidden="1">
      <c r="B57" s="80"/>
      <c r="C57" s="80" t="s">
        <v>303</v>
      </c>
      <c r="D57" s="80"/>
      <c r="E57" s="80" t="s">
        <v>304</v>
      </c>
      <c r="F57" s="80" t="s">
        <v>304</v>
      </c>
      <c r="G57" s="80" t="s">
        <v>303</v>
      </c>
    </row>
    <row r="58" spans="1:7" hidden="1">
      <c r="A58" s="86">
        <v>2013</v>
      </c>
      <c r="B58" s="80" t="s">
        <v>283</v>
      </c>
      <c r="C58" s="80" t="str">
        <f>C68</f>
        <v>at 11-30-2011</v>
      </c>
      <c r="D58" s="80" t="s">
        <v>304</v>
      </c>
      <c r="E58" s="80" t="s">
        <v>305</v>
      </c>
      <c r="F58" s="80" t="s">
        <v>305</v>
      </c>
      <c r="G58" s="80" t="str">
        <f>G68</f>
        <v>at 11-30-2012</v>
      </c>
    </row>
    <row r="59" spans="1:7" hidden="1">
      <c r="B59" s="80" t="s">
        <v>287</v>
      </c>
      <c r="C59" s="80" t="s">
        <v>306</v>
      </c>
      <c r="D59" s="80" t="s">
        <v>307</v>
      </c>
      <c r="E59" s="80" t="s">
        <v>308</v>
      </c>
      <c r="F59" s="80" t="s">
        <v>309</v>
      </c>
      <c r="G59" s="80" t="s">
        <v>310</v>
      </c>
    </row>
    <row r="60" spans="1:7" hidden="1">
      <c r="B60" s="80"/>
      <c r="C60" s="80"/>
      <c r="D60" s="80"/>
      <c r="E60" s="80"/>
      <c r="F60" s="80"/>
      <c r="G60" s="80"/>
    </row>
    <row r="61" spans="1:7" ht="15" hidden="1" customHeight="1">
      <c r="A61" s="80">
        <f>Premiums!$B$7</f>
        <v>19.3</v>
      </c>
      <c r="B61" s="116">
        <f>A58</f>
        <v>2013</v>
      </c>
      <c r="C61" s="131">
        <v>0</v>
      </c>
      <c r="D61" s="131">
        <v>0</v>
      </c>
      <c r="E61" s="131">
        <v>0</v>
      </c>
      <c r="F61" s="131">
        <v>0</v>
      </c>
      <c r="G61" s="132">
        <f t="shared" ref="G61:G63" si="10">SUM(C61+D61)-SUM(E61+F61)</f>
        <v>0</v>
      </c>
    </row>
    <row r="62" spans="1:7" ht="15" hidden="1" customHeight="1">
      <c r="A62" s="80">
        <f>Premiums!$C$7</f>
        <v>19.399999999999999</v>
      </c>
      <c r="B62" s="116">
        <f t="shared" ref="B62:B63" si="11">B61</f>
        <v>2013</v>
      </c>
      <c r="C62" s="131">
        <v>0</v>
      </c>
      <c r="D62" s="131">
        <v>0</v>
      </c>
      <c r="E62" s="131">
        <v>0</v>
      </c>
      <c r="F62" s="131">
        <v>0</v>
      </c>
      <c r="G62" s="132">
        <f t="shared" si="10"/>
        <v>0</v>
      </c>
    </row>
    <row r="63" spans="1:7" ht="15" hidden="1" customHeight="1">
      <c r="A63" s="80">
        <f>Premiums!$D$7</f>
        <v>21.2</v>
      </c>
      <c r="B63" s="116">
        <f t="shared" si="11"/>
        <v>2013</v>
      </c>
      <c r="C63" s="131">
        <v>0</v>
      </c>
      <c r="D63" s="131">
        <v>0</v>
      </c>
      <c r="E63" s="131">
        <v>0</v>
      </c>
      <c r="F63" s="131">
        <v>0</v>
      </c>
      <c r="G63" s="132">
        <f t="shared" si="10"/>
        <v>0</v>
      </c>
    </row>
    <row r="64" spans="1:7" hidden="1">
      <c r="C64" s="132"/>
      <c r="D64" s="132"/>
      <c r="E64" s="132"/>
      <c r="F64" s="132"/>
      <c r="G64" s="132"/>
    </row>
    <row r="65" spans="1:7" hidden="1">
      <c r="B65" s="80" t="s">
        <v>271</v>
      </c>
      <c r="C65" s="118">
        <f>SUM(C61:C63)</f>
        <v>0</v>
      </c>
      <c r="D65" s="118">
        <f>SUM(D61:D63)</f>
        <v>0</v>
      </c>
      <c r="E65" s="118">
        <f>SUM(E61:E63)</f>
        <v>0</v>
      </c>
      <c r="F65" s="118">
        <f>SUM(F61:F63)</f>
        <v>0</v>
      </c>
      <c r="G65" s="132">
        <f>SUM(G61:G63)</f>
        <v>0</v>
      </c>
    </row>
    <row r="67" spans="1:7">
      <c r="B67" s="80"/>
      <c r="C67" s="80" t="s">
        <v>303</v>
      </c>
      <c r="D67" s="80"/>
      <c r="E67" s="80" t="s">
        <v>304</v>
      </c>
      <c r="F67" s="80" t="s">
        <v>304</v>
      </c>
      <c r="G67" s="80" t="s">
        <v>303</v>
      </c>
    </row>
    <row r="68" spans="1:7">
      <c r="A68" s="86">
        <v>2013</v>
      </c>
      <c r="B68" s="80" t="s">
        <v>283</v>
      </c>
      <c r="C68" s="80" t="str">
        <f>C79</f>
        <v>at 11-30-2011</v>
      </c>
      <c r="D68" s="80" t="s">
        <v>304</v>
      </c>
      <c r="E68" s="80" t="s">
        <v>305</v>
      </c>
      <c r="F68" s="80" t="s">
        <v>305</v>
      </c>
      <c r="G68" s="80" t="str">
        <f>G79</f>
        <v>at 11-30-2012</v>
      </c>
    </row>
    <row r="69" spans="1:7">
      <c r="B69" s="80" t="s">
        <v>287</v>
      </c>
      <c r="C69" s="80" t="s">
        <v>306</v>
      </c>
      <c r="D69" s="80" t="s">
        <v>307</v>
      </c>
      <c r="E69" s="80" t="s">
        <v>308</v>
      </c>
      <c r="F69" s="80" t="s">
        <v>309</v>
      </c>
      <c r="G69" s="80" t="s">
        <v>310</v>
      </c>
    </row>
    <row r="70" spans="1:7">
      <c r="B70" s="80"/>
      <c r="C70" s="80"/>
      <c r="D70" s="80"/>
      <c r="E70" s="80"/>
      <c r="F70" s="80"/>
      <c r="G70" s="80"/>
    </row>
    <row r="71" spans="1:7" ht="15" customHeight="1">
      <c r="A71" s="80">
        <f>Premiums!$B$7</f>
        <v>19.3</v>
      </c>
      <c r="B71" s="116">
        <f>A68</f>
        <v>2013</v>
      </c>
      <c r="C71" s="131">
        <v>0</v>
      </c>
      <c r="D71" s="131">
        <v>0</v>
      </c>
      <c r="E71" s="131">
        <v>0</v>
      </c>
      <c r="F71" s="131">
        <v>0</v>
      </c>
      <c r="G71" s="132">
        <f t="shared" ref="G71:G73" si="12">SUM(C71+D71)-SUM(E71+F71)</f>
        <v>0</v>
      </c>
    </row>
    <row r="72" spans="1:7" ht="15" customHeight="1">
      <c r="A72" s="80">
        <f>Premiums!$C$7</f>
        <v>19.399999999999999</v>
      </c>
      <c r="B72" s="116">
        <f t="shared" ref="B72:B73" si="13">B71</f>
        <v>2013</v>
      </c>
      <c r="C72" s="131">
        <v>0</v>
      </c>
      <c r="D72" s="131">
        <v>0</v>
      </c>
      <c r="E72" s="131">
        <v>0</v>
      </c>
      <c r="F72" s="131">
        <v>0</v>
      </c>
      <c r="G72" s="132">
        <f t="shared" si="12"/>
        <v>0</v>
      </c>
    </row>
    <row r="73" spans="1:7" ht="15" customHeight="1">
      <c r="A73" s="80">
        <f>Premiums!$D$7</f>
        <v>21.2</v>
      </c>
      <c r="B73" s="116">
        <f t="shared" si="13"/>
        <v>2013</v>
      </c>
      <c r="C73" s="131">
        <v>0</v>
      </c>
      <c r="D73" s="131">
        <v>0</v>
      </c>
      <c r="E73" s="131">
        <v>0</v>
      </c>
      <c r="F73" s="131">
        <v>0</v>
      </c>
      <c r="G73" s="132">
        <f t="shared" si="12"/>
        <v>0</v>
      </c>
    </row>
    <row r="74" spans="1:7">
      <c r="C74" s="132"/>
      <c r="D74" s="132"/>
      <c r="E74" s="132"/>
      <c r="F74" s="132"/>
      <c r="G74" s="132"/>
    </row>
    <row r="75" spans="1:7">
      <c r="B75" s="80" t="s">
        <v>271</v>
      </c>
      <c r="C75" s="118">
        <f>SUM(C71:C73)</f>
        <v>0</v>
      </c>
      <c r="D75" s="118">
        <f>SUM(D71:D73)</f>
        <v>0</v>
      </c>
      <c r="E75" s="118">
        <f>SUM(E71:E73)</f>
        <v>0</v>
      </c>
      <c r="F75" s="118">
        <f>SUM(F71:F73)</f>
        <v>0</v>
      </c>
      <c r="G75" s="132">
        <f>SUM(G71:G73)</f>
        <v>0</v>
      </c>
    </row>
    <row r="76" spans="1:7">
      <c r="A76" s="86"/>
      <c r="B76" s="80"/>
      <c r="C76" s="80"/>
      <c r="D76" s="80"/>
      <c r="E76" s="80"/>
      <c r="F76" s="80"/>
      <c r="G76" s="80"/>
    </row>
    <row r="78" spans="1:7">
      <c r="A78" s="119"/>
      <c r="B78" s="119"/>
      <c r="C78" s="120" t="s">
        <v>303</v>
      </c>
      <c r="D78" s="120"/>
      <c r="E78" s="120" t="s">
        <v>304</v>
      </c>
      <c r="F78" s="120" t="s">
        <v>304</v>
      </c>
      <c r="G78" s="120" t="s">
        <v>303</v>
      </c>
    </row>
    <row r="79" spans="1:7">
      <c r="A79" s="119"/>
      <c r="B79" s="120" t="s">
        <v>290</v>
      </c>
      <c r="C79" s="120" t="s">
        <v>311</v>
      </c>
      <c r="D79" s="120" t="s">
        <v>304</v>
      </c>
      <c r="E79" s="120" t="s">
        <v>305</v>
      </c>
      <c r="F79" s="120" t="s">
        <v>305</v>
      </c>
      <c r="G79" s="120" t="s">
        <v>312</v>
      </c>
    </row>
    <row r="80" spans="1:7">
      <c r="A80" s="119"/>
      <c r="B80" s="120" t="s">
        <v>291</v>
      </c>
      <c r="C80" s="120" t="s">
        <v>306</v>
      </c>
      <c r="D80" s="120" t="s">
        <v>307</v>
      </c>
      <c r="E80" s="120" t="s">
        <v>308</v>
      </c>
      <c r="F80" s="120" t="s">
        <v>309</v>
      </c>
      <c r="G80" s="120" t="s">
        <v>310</v>
      </c>
    </row>
    <row r="81" spans="1:7">
      <c r="A81" s="119"/>
      <c r="B81" s="120"/>
      <c r="C81" s="120"/>
      <c r="D81" s="120"/>
      <c r="E81" s="120"/>
      <c r="F81" s="120"/>
      <c r="G81" s="120"/>
    </row>
    <row r="82" spans="1:7">
      <c r="A82" s="120">
        <f>Premiums!$B$7</f>
        <v>19.3</v>
      </c>
      <c r="B82" s="120"/>
      <c r="C82" s="133">
        <f t="shared" ref="C82:G84" si="14">C11+C21+C31+C41+C51+C61+C71</f>
        <v>0</v>
      </c>
      <c r="D82" s="133">
        <f t="shared" si="14"/>
        <v>0</v>
      </c>
      <c r="E82" s="133">
        <f t="shared" si="14"/>
        <v>0</v>
      </c>
      <c r="F82" s="133">
        <f t="shared" si="14"/>
        <v>0</v>
      </c>
      <c r="G82" s="133">
        <f t="shared" si="14"/>
        <v>0</v>
      </c>
    </row>
    <row r="83" spans="1:7">
      <c r="A83" s="120">
        <f>Premiums!$C$7</f>
        <v>19.399999999999999</v>
      </c>
      <c r="B83" s="120"/>
      <c r="C83" s="133">
        <f t="shared" si="14"/>
        <v>0</v>
      </c>
      <c r="D83" s="133">
        <f t="shared" si="14"/>
        <v>0</v>
      </c>
      <c r="E83" s="133">
        <f t="shared" si="14"/>
        <v>0</v>
      </c>
      <c r="F83" s="133">
        <f t="shared" si="14"/>
        <v>0</v>
      </c>
      <c r="G83" s="133">
        <f t="shared" si="14"/>
        <v>0</v>
      </c>
    </row>
    <row r="84" spans="1:7">
      <c r="A84" s="120">
        <f>Premiums!$D$7</f>
        <v>21.2</v>
      </c>
      <c r="B84" s="120"/>
      <c r="C84" s="133">
        <f t="shared" si="14"/>
        <v>0</v>
      </c>
      <c r="D84" s="133">
        <f t="shared" si="14"/>
        <v>0</v>
      </c>
      <c r="E84" s="133">
        <f t="shared" si="14"/>
        <v>0</v>
      </c>
      <c r="F84" s="133">
        <f t="shared" si="14"/>
        <v>0</v>
      </c>
      <c r="G84" s="133">
        <f t="shared" si="14"/>
        <v>0</v>
      </c>
    </row>
    <row r="85" spans="1:7">
      <c r="A85" s="120"/>
      <c r="B85" s="120"/>
      <c r="C85" s="133"/>
      <c r="D85" s="133"/>
      <c r="E85" s="133"/>
      <c r="F85" s="133"/>
      <c r="G85" s="133"/>
    </row>
    <row r="86" spans="1:7">
      <c r="A86" s="119"/>
      <c r="B86" s="120" t="s">
        <v>271</v>
      </c>
      <c r="C86" s="133">
        <f>SUM(C82:C85)</f>
        <v>0</v>
      </c>
      <c r="D86" s="133">
        <f>SUM(D82:D85)</f>
        <v>0</v>
      </c>
      <c r="E86" s="133">
        <f>SUM(E82:E85)</f>
        <v>0</v>
      </c>
      <c r="F86" s="133">
        <f>SUM(F82:F85)</f>
        <v>0</v>
      </c>
      <c r="G86" s="133">
        <f>SUM(G82:G85)</f>
        <v>0</v>
      </c>
    </row>
  </sheetData>
  <printOptions gridLines="1"/>
  <pageMargins left="0.5" right="0.5" top="0.5" bottom="0.25" header="0.5" footer="0.25"/>
  <pageSetup scale="65" orientation="portrait" blackAndWhite="1" r:id="rId1"/>
  <headerFooter alignWithMargins="0">
    <oddFooter>&amp;LM:\ACCT\EDROBERT\MGA-FORMAT.XLS&amp;R&amp;D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State National Companies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LLemons</dc:creator>
  <cp:keywords/>
  <dc:description/>
  <cp:lastModifiedBy>Ishant Pasricha</cp:lastModifiedBy>
  <cp:revision/>
  <dcterms:created xsi:type="dcterms:W3CDTF">2001-05-30T15:20:22Z</dcterms:created>
  <dcterms:modified xsi:type="dcterms:W3CDTF">2026-05-28T08:45:52Z</dcterms:modified>
  <cp:category/>
  <cp:contentStatus/>
</cp:coreProperties>
</file>